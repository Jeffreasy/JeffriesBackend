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enstenData" sheetId="1" r:id="rId5"/>
    <sheet state="visible" name="Dashboard" sheetId="2" r:id="rId6"/>
  </sheets>
  <definedNames>
    <definedName hidden="1" localSheetId="0" name="Z_9798D353_19B3_4DCC_B162_14306F6FDF23_.wvu.FilterData">DienstenData!$A$1:$T$133</definedName>
    <definedName hidden="1" localSheetId="0" name="Z_9798D353_19B3_4DCC_B162_14306F6FDF23_.wvu.FilterData">DienstenData!$A$1:$T$133</definedName>
    <definedName hidden="1" localSheetId="0" name="Z_9798D353_19B3_4DCC_B162_14306F6FDF23_.wvu.FilterData">DienstenData!$A$1:$T$133</definedName>
    <definedName hidden="1" localSheetId="0" name="Z_9798D353_19B3_4DCC_B162_14306F6FDF23_.wvu.FilterData">DienstenData!$A$1:$T$133</definedName>
    <definedName hidden="1" localSheetId="0" name="Z_9798D353_19B3_4DCC_B162_14306F6FDF23_.wvu.FilterData">DienstenData!$A$1:$T$133</definedName>
    <definedName hidden="1" localSheetId="0" name="Z_9798D353_19B3_4DCC_B162_14306F6FDF23_.wvu.FilterData">DienstenData!$A$1:$T$133</definedName>
    <definedName hidden="1" localSheetId="0" name="Z_9798D353_19B3_4DCC_B162_14306F6FDF23_.wvu.FilterData">DienstenData!$A$1:$T$133</definedName>
    <definedName hidden="1" localSheetId="0" name="Z_9798D353_19B3_4DCC_B162_14306F6FDF23_.wvu.FilterData">DienstenData!$A$1:$T$133</definedName>
    <definedName name="SlicerCache_Table_1_Col_9">#N/A</definedName>
    <definedName name="SlicerCache_Table_1_Col_11">#N/A</definedName>
  </definedNames>
  <calcPr/>
  <customWorkbookViews>
    <customWorkbookView activeSheetId="0" maximized="1" windowHeight="0" windowWidth="0" guid="{9798D353-19B3-4DCC-B162-14306F6FDF23}" name="Filter 1"/>
  </customWorkbookViews>
  <extLst>
    <ext uri="{46BE6895-7355-4a93-B00E-2C351335B9C9}">
      <x15:slicerCaches>
        <x14:slicerCache r:id="rId7"/>
        <x14:slicerCache r:id="rId8"/>
      </x15:slicerCaches>
    </ext>
  </extLst>
</workbook>
</file>

<file path=xl/sharedStrings.xml><?xml version="1.0" encoding="utf-8"?>
<sst xmlns="http://schemas.openxmlformats.org/spreadsheetml/2006/main" count="1456" uniqueCount="375">
  <si>
    <t>Event ID</t>
  </si>
  <si>
    <t>Titel</t>
  </si>
  <si>
    <t>Start Datum</t>
  </si>
  <si>
    <t>Start Tijd</t>
  </si>
  <si>
    <t>Eind Datum</t>
  </si>
  <si>
    <t>Eind Tijd</t>
  </si>
  <si>
    <t>Werktijd</t>
  </si>
  <si>
    <t>Locatie</t>
  </si>
  <si>
    <t>Team Prefix</t>
  </si>
  <si>
    <t>Shift Type</t>
  </si>
  <si>
    <t>Prioriteit</t>
  </si>
  <si>
    <t>Duur (uur)</t>
  </si>
  <si>
    <t>Weeknr</t>
  </si>
  <si>
    <t>Dag</t>
  </si>
  <si>
    <t>Status</t>
  </si>
  <si>
    <t>Beschrijving</t>
  </si>
  <si>
    <t>Hele Dag</t>
  </si>
  <si>
    <t>Hash</t>
  </si>
  <si>
    <t>Todoist ID</t>
  </si>
  <si>
    <t>Laatst Bijgewerkt</t>
  </si>
  <si>
    <t>8e5b4029-9eaa-47b6-b3b6-10f857532a53</t>
  </si>
  <si>
    <t>Dienst</t>
  </si>
  <si>
    <t>14:45 - 22:00</t>
  </si>
  <si>
    <t>Enckerkamp 31 AA - 21964</t>
  </si>
  <si>
    <t>A.</t>
  </si>
  <si>
    <t>Laat</t>
  </si>
  <si>
    <t>2025-26</t>
  </si>
  <si>
    <t>Woensdag</t>
  </si>
  <si>
    <t>Gedraaid</t>
  </si>
  <si>
    <t>Nee</t>
  </si>
  <si>
    <t>e26d2835beb61f327ffce93089dcf4d5</t>
  </si>
  <si>
    <t>9308c29f-cb64-4673-9879-f8baa67ed40d</t>
  </si>
  <si>
    <t>07:00 - 12:00</t>
  </si>
  <si>
    <t>Enckerkamp 31 Appartementen - 20270</t>
  </si>
  <si>
    <t>R.</t>
  </si>
  <si>
    <t>Vroeg</t>
  </si>
  <si>
    <t>2025-27</t>
  </si>
  <si>
    <t>Zondag</t>
  </si>
  <si>
    <t>02b907803e728a89554a72910f59977e</t>
  </si>
  <si>
    <t>7fef55dc-1781-45eb-8da6-19aeb14d5116</t>
  </si>
  <si>
    <t>Maandag</t>
  </si>
  <si>
    <t>c7d3a03b58277917e4e1fa50452203d6</t>
  </si>
  <si>
    <t>9c3b4dd4-b6a8-4a66-8e67-e9ec02b7a33e</t>
  </si>
  <si>
    <t>14:30 - 22:00</t>
  </si>
  <si>
    <t>3475f122d90c5b52446702ba2a3c5b7c</t>
  </si>
  <si>
    <t>d68df677-3a28-4447-ae2a-7a0200a75480</t>
  </si>
  <si>
    <t>07:00 - 15:00</t>
  </si>
  <si>
    <t>Vrijdag</t>
  </si>
  <si>
    <t>59c8b57c4edd2b690cf0d8a4b66c3ca5</t>
  </si>
  <si>
    <t>6a8025dd-6734-4747-b5a6-cdd933fa5ba1</t>
  </si>
  <si>
    <t>Zaterdag</t>
  </si>
  <si>
    <t>428775bde43ce57787422b9258da95c8</t>
  </si>
  <si>
    <t>148b7f5d-d7ca-4489-9203-dbc18e4b5d5e</t>
  </si>
  <si>
    <t>2025-28</t>
  </si>
  <si>
    <t>2d51734c47fa3b343ad9b3367ca76575</t>
  </si>
  <si>
    <t>f4e2eb7a-0ed2-4302-b716-810f5a5703da</t>
  </si>
  <si>
    <t>09:30 - 15:30</t>
  </si>
  <si>
    <t>Dinsdag</t>
  </si>
  <si>
    <t>f0ceb43760dfc811fef3e5a769bc1407</t>
  </si>
  <si>
    <t>b59fba00-372c-4bc8-8bc3-17a227bf0dd8</t>
  </si>
  <si>
    <t>7641c9995531f907e4ec770aeaf40800</t>
  </si>
  <si>
    <t>470492f9-1bec-494e-aaa2-f4375d8248cc</t>
  </si>
  <si>
    <t>Donderdag</t>
  </si>
  <si>
    <t>ab847a8bbbeec30f7fc7d07f5f81ef60</t>
  </si>
  <si>
    <t>b0948b27-0600-485f-bc2a-c424b4866589</t>
  </si>
  <si>
    <t>07:00 - 14:45</t>
  </si>
  <si>
    <t>2025-29</t>
  </si>
  <si>
    <t>dd0ef26855a7569690e07a98c52985da</t>
  </si>
  <si>
    <t>97aeb6de-389c-46a6-b94a-440841940eb8</t>
  </si>
  <si>
    <t>2025-30</t>
  </si>
  <si>
    <t>ac6f7471093c614a97ba3ba34d0019b0</t>
  </si>
  <si>
    <t>81907d08-561a-4c06-a215-90f3ddb7ead7</t>
  </si>
  <si>
    <t>bf6814f4e76aa6d7110b59dfe2ba9065</t>
  </si>
  <si>
    <t>98516f3d-4eb6-4296-83e5-9510728b28a1</t>
  </si>
  <si>
    <t>07:00 - 14:30</t>
  </si>
  <si>
    <t>2025-31</t>
  </si>
  <si>
    <t>5434c6f9de359473ad018d00f46b81b3</t>
  </si>
  <si>
    <t>4803dcfb-3758-4dfe-abba-a883827cf357</t>
  </si>
  <si>
    <t>076b3b056c37645dfa3d5a88c5eab199</t>
  </si>
  <si>
    <t>eeef442f-5e26-42f3-ba93-6bd5398a2b79</t>
  </si>
  <si>
    <t>944535b4106a36d788a81d7a3a3eed12</t>
  </si>
  <si>
    <t>dcf45ad8-465e-4cde-ab71-139a1f373c57</t>
  </si>
  <si>
    <t>97032a66494444cc5a54d86d10026fc7</t>
  </si>
  <si>
    <t>d9c8c951-e5e4-4138-8043-e32a61ff01d6</t>
  </si>
  <si>
    <t>66375d2f3457a9586f676b52f81e9977</t>
  </si>
  <si>
    <t>6da9109a-7354-454d-b940-805827436b26</t>
  </si>
  <si>
    <t>de53eb3f83358e4869043f452616a776</t>
  </si>
  <si>
    <t>7279c46d-370a-41da-8a6d-718795754db0</t>
  </si>
  <si>
    <t>2025-32</t>
  </si>
  <si>
    <t>96ba6a63fac11dfd6988d86a5854c3b7</t>
  </si>
  <si>
    <t>bd0a87a0-784b-4e27-88e5-7e4d3c5c43dd</t>
  </si>
  <si>
    <t>05:00 - 15:00</t>
  </si>
  <si>
    <t>6677961817efdb59c48462fa6f2d394f</t>
  </si>
  <si>
    <t>5f8763b8-408b-4843-bdc8-a4864b166de9</t>
  </si>
  <si>
    <t>047c877f288ebc5ae1c1f87814108b8f</t>
  </si>
  <si>
    <t>96a7d241-b9a7-490a-8b67-9768bc353352</t>
  </si>
  <si>
    <t>6f615b5a5afe936cca8c9dae46c338db</t>
  </si>
  <si>
    <t>450266e9-4939-40bd-b302-17280636a440</t>
  </si>
  <si>
    <t>2025-33</t>
  </si>
  <si>
    <t>80493a26aa3e6ea41ad7a4d67590454f</t>
  </si>
  <si>
    <t>c50a914f-ad78-4675-9980-133ec85e2e55</t>
  </si>
  <si>
    <t>b1ca48c68df47613bf50606ef87de599</t>
  </si>
  <si>
    <t>c49acff4-3f33-498a-a1ee-b5c924e7074f</t>
  </si>
  <si>
    <t>77e682d55d73d046fa98c30ae3920092</t>
  </si>
  <si>
    <t>86d2d350-5015-4a76-bb46-eddb925e128c</t>
  </si>
  <si>
    <t>9410e2a1a65e9200aa19783d6d4ed993</t>
  </si>
  <si>
    <t>138fe7c8-fbba-401a-b1c3-650d9a14b0ee</t>
  </si>
  <si>
    <t>2025-34</t>
  </si>
  <si>
    <t>f1f84ce79da2a82ff85f1d6ec35262ea</t>
  </si>
  <si>
    <t>5e4431ed-c2bc-4ec5-9737-6b81c1e43f04</t>
  </si>
  <si>
    <t>033cc5db9ea2d2a8e5026089fa6a0cdd</t>
  </si>
  <si>
    <t>b5aa52d4-4958-4510-9297-ff6ef6835adc</t>
  </si>
  <si>
    <t>8fa9441cd0e00b6a65d7494f1f0540a7</t>
  </si>
  <si>
    <t>398de71c-b567-4f3a-982b-6cafc08a0e78</t>
  </si>
  <si>
    <t>39178346dcc7a137f42b25369cced6b9</t>
  </si>
  <si>
    <t>783d519d-cdc4-47d6-b2c7-796add532d74</t>
  </si>
  <si>
    <t>2025-35</t>
  </si>
  <si>
    <t>e545e518731c3b3d8806706182683412</t>
  </si>
  <si>
    <t>d94d9aa3-c8b3-4337-b360-d4b041ea02cd</t>
  </si>
  <si>
    <t>e9d0901636df0234973cbd2168f3db5b</t>
  </si>
  <si>
    <t>db8e003b-f0d9-4a1c-8211-6f10ec615a77</t>
  </si>
  <si>
    <t>2025-36</t>
  </si>
  <si>
    <t>83ae8d0df01ff7673cb19ed403df9d5e</t>
  </si>
  <si>
    <t>b663ade1-362c-4c6a-bc04-3e0018019584</t>
  </si>
  <si>
    <t>60f17190ff3bc38214b25a76b6e9b62d</t>
  </si>
  <si>
    <t>9b04c70e-2bce-470f-93be-d50226a8101e</t>
  </si>
  <si>
    <t>e0c764505a12a6fc20d126de6f165d26</t>
  </si>
  <si>
    <t>0648b2b4-f6ae-4eeb-959a-d04cb9dddcaa</t>
  </si>
  <si>
    <t>44f96819cf96a5cd6e5c1f3a8a7899d6</t>
  </si>
  <si>
    <t>02ae96bd-c89b-4c23-a96e-63e67343697c</t>
  </si>
  <si>
    <t>2025-37</t>
  </si>
  <si>
    <t>645e6f5cd0ccf9fa22ee236b4c335b76</t>
  </si>
  <si>
    <t>df3a6c7e-ec43-4164-8749-5b1a780b473a</t>
  </si>
  <si>
    <t>e0a7217822068c2890754a2e3bc61149</t>
  </si>
  <si>
    <t>740d978d-3723-4cde-9e08-9464ab25a2e0</t>
  </si>
  <si>
    <t>222eb1505c36278e159e629a58769db9</t>
  </si>
  <si>
    <t>976fafe3-4f21-4809-99bf-a8f2029e691b</t>
  </si>
  <si>
    <t>3d100a9806ce334680919e2832d652cb</t>
  </si>
  <si>
    <t>11eaba09-d9f5-4c03-9202-82709235463e</t>
  </si>
  <si>
    <t>2025-38</t>
  </si>
  <si>
    <t>86039c65ac9876035af57bc80ba89c7c</t>
  </si>
  <si>
    <t>4861c576-1162-43cb-866e-b226d8117b6a</t>
  </si>
  <si>
    <t>b877632fac7721bdbd21c3b09d72968b</t>
  </si>
  <si>
    <t>6016d9be-b6ea-4667-aaa3-d4eecf2f74e7</t>
  </si>
  <si>
    <t>2025-39</t>
  </si>
  <si>
    <t>e8a83bddf9602411a1b1003948d2b098</t>
  </si>
  <si>
    <t>8bb59c83-4914-46f8-a909-e8282175b448</t>
  </si>
  <si>
    <t>13:30 - 22:00</t>
  </si>
  <si>
    <t>cf2df0d18efb0654ad3be8ebbd460992</t>
  </si>
  <si>
    <t>094436dd-5c2e-4b7e-a6f7-b915ba471160</t>
  </si>
  <si>
    <t>2a0ab0328ab38d937b396f21486a47ce</t>
  </si>
  <si>
    <t>cefdbbbb-a6fc-4759-9ad8-39e077de9688</t>
  </si>
  <si>
    <t>b37b7a44ce93f658a3fc667115a46dcc</t>
  </si>
  <si>
    <t>b4b019d2-9e58-44e2-a1d5-b8a669e9c56e</t>
  </si>
  <si>
    <t>438c42a8382d4965eebfdb6b5ced1077</t>
  </si>
  <si>
    <t>a11d69e8-5fa1-4da0-8b29-f194a6c0c747</t>
  </si>
  <si>
    <t>2025-40</t>
  </si>
  <si>
    <t>65ac39779cd156bd0ce5fbc94b2ffb04</t>
  </si>
  <si>
    <t>d3592162-a2ff-42b1-a4cb-e0bba199638d</t>
  </si>
  <si>
    <t>5a6dfd47dedb1f812210a11b41c2f179</t>
  </si>
  <si>
    <t>cdb427f8-8490-4c6c-9d3a-ee23778002fd</t>
  </si>
  <si>
    <t>26c9ca5415cab41e312c61238f3831ba</t>
  </si>
  <si>
    <t>39de92f5-ea50-49f3-b026-b15a2cf6ff81</t>
  </si>
  <si>
    <t>86464987a285ccca69af71609f07b4a0</t>
  </si>
  <si>
    <t>e93371ea-a83d-4894-aafb-58a3af09b561</t>
  </si>
  <si>
    <t>2025-41</t>
  </si>
  <si>
    <t>2f4ca3f3a75a67f08998fdabadc0ceec</t>
  </si>
  <si>
    <t>74715b6a-a6aa-4259-adb4-a9a8ab060cd6</t>
  </si>
  <si>
    <t>2025-42</t>
  </si>
  <si>
    <t>42f333c43a31badab1f67f0121deb53d</t>
  </si>
  <si>
    <t>760c1afb-709b-4425-804d-7ec98ca9401d</t>
  </si>
  <si>
    <t>68d198dfb606f76a7caf432f0e5a9454</t>
  </si>
  <si>
    <t>9de9b4bb-6d56-4c7f-ba9b-606b4aea4dd4</t>
  </si>
  <si>
    <t>12def5b743fef2d741377c3e2c7f68f2</t>
  </si>
  <si>
    <t>f19ec0d1-0d4f-4557-b2c6-7c27bac1010f</t>
  </si>
  <si>
    <t>2025-43</t>
  </si>
  <si>
    <t>1ee4c39f731345adfe3383afb9205184</t>
  </si>
  <si>
    <t>805b1cb5-9563-4ebc-bd63-0665143257ab</t>
  </si>
  <si>
    <t>8c448f6244ffc428a7875445db2c0f87</t>
  </si>
  <si>
    <t>77046498-5d87-4b4c-b609-a4df73f73e09</t>
  </si>
  <si>
    <t>2025-44</t>
  </si>
  <si>
    <t>a77ce652b750a6fec87de569586d0a06</t>
  </si>
  <si>
    <t>6b2943dc-2d6b-4bcd-af0b-081d095df480</t>
  </si>
  <si>
    <t>09:30 - 16:00</t>
  </si>
  <si>
    <t>17bf5df3878458e58f18cc1e11e173be</t>
  </si>
  <si>
    <t>1bbd9751-8d53-4445-8de2-31d3268bcb67</t>
  </si>
  <si>
    <t>0ef386836a186d64b43b2b8f3beb4ced</t>
  </si>
  <si>
    <t>f935a40b-91d1-4b45-b6fb-cefc3a9ab481</t>
  </si>
  <si>
    <t>1e9e926522ab818d5293e79b92c40071</t>
  </si>
  <si>
    <t>2787eed1-4f0c-4652-8a9d-72986e4c497b</t>
  </si>
  <si>
    <t>2abc09524a1ffd9fb144a75a71d93e0d</t>
  </si>
  <si>
    <t>65c7fe46-1822-4f9e-9d6d-aaa3c05b5ea8</t>
  </si>
  <si>
    <t>2025-45</t>
  </si>
  <si>
    <t>2c1d6712ee4fc18d6873f1ea0ad49dee</t>
  </si>
  <si>
    <t>9654a5de-348d-49a3-b389-470aeb65c180</t>
  </si>
  <si>
    <t>2025-46</t>
  </si>
  <si>
    <t>a3ecc783b681880e34b0f8a7c5e8d8f0</t>
  </si>
  <si>
    <t>2cccd50f-0c7f-4f72-b896-c243d367df65</t>
  </si>
  <si>
    <t>12:15 - 22:00</t>
  </si>
  <si>
    <t>86843d97f910d8ed9423744ba7f0e20f</t>
  </si>
  <si>
    <t>9d4b49bf-5c99-45bd-86a2-066e1c957ef8</t>
  </si>
  <si>
    <t>aa9b0637af5ec42ed6cae607e081c6c6</t>
  </si>
  <si>
    <t>deab91fa-0328-47e8-835c-fdb035489d49</t>
  </si>
  <si>
    <t>2025-47</t>
  </si>
  <si>
    <t>c2b7ca5d2f593b815d77718dc3329fe9</t>
  </si>
  <si>
    <t>b1d31f2d-fbd8-44e8-872a-a7962fc741f4</t>
  </si>
  <si>
    <t>2025-48</t>
  </si>
  <si>
    <t>471a380e6fa5dedf5d3e97e9749432ba</t>
  </si>
  <si>
    <t>5f6864f7-cf09-4b9b-834a-008b27bee58f</t>
  </si>
  <si>
    <t>7beebd23ba09713b4067d760449dd1eb</t>
  </si>
  <si>
    <t>ae4af62a-c562-4bb4-af2a-bc779b641d5c</t>
  </si>
  <si>
    <t>10114bda93171fed1b855ef0393b395e</t>
  </si>
  <si>
    <t>8658da31-d5ab-443f-9059-25703b65b13a</t>
  </si>
  <si>
    <t>2025-49</t>
  </si>
  <si>
    <t>40ae662df0a9a51bae91ab07774c97c8</t>
  </si>
  <si>
    <t>aa692036-483c-4d25-9c12-6bf23c564f44</t>
  </si>
  <si>
    <t>2025-50</t>
  </si>
  <si>
    <t>50b1fcac77bce9c4d920a0f5dad0aef9</t>
  </si>
  <si>
    <t>e972fc59-19f8-410a-b12e-e010cfae0ef7</t>
  </si>
  <si>
    <t>813bce006a7073ee10f7e05d031079a7</t>
  </si>
  <si>
    <t>3082ab7c-2495-44dd-a97f-c38c58334bbe</t>
  </si>
  <si>
    <t>130556db672e3fd5a269080acf1d1404</t>
  </si>
  <si>
    <t>84cfccb0-cd71-422b-a362-257c30a07507</t>
  </si>
  <si>
    <t>2025-51</t>
  </si>
  <si>
    <t>ec0f22c4f185a6a9c252772697ca5796</t>
  </si>
  <si>
    <t>6054d57e-9ccf-49d1-aa70-7077699e82c9</t>
  </si>
  <si>
    <t>15:00 - 16:00</t>
  </si>
  <si>
    <t>9397f486166829b8ae247f2ffca07999</t>
  </si>
  <si>
    <t>277d25e0-e9ce-4d0c-8e64-8216b392c642</t>
  </si>
  <si>
    <t>16:00 - 17:00</t>
  </si>
  <si>
    <t>18f36f5dcd4d5e08e1051626471db050</t>
  </si>
  <si>
    <t>03bb260c-31bd-45fd-86a4-5c42db74de08</t>
  </si>
  <si>
    <t>4debbf1146aa1319d0fa81f71f41d6a1</t>
  </si>
  <si>
    <t>7ef334d1-16d9-461d-81d7-cb06b35cd3c1</t>
  </si>
  <si>
    <t>2025-52</t>
  </si>
  <si>
    <t>87e391a2608c86007686b8a280222b6e</t>
  </si>
  <si>
    <t>38e30165-c9b0-46c8-9074-1bf8f4b57e46</t>
  </si>
  <si>
    <t>4f8470333461342ea402d1e4cd2adb1b</t>
  </si>
  <si>
    <t>e8368b98-59cd-4e1a-a4d2-4f7896830b4f</t>
  </si>
  <si>
    <t>50ae70334920d6278ac891ae1b467fb8</t>
  </si>
  <si>
    <t>d910d150-dad4-484f-96fd-8167bdbcb67c</t>
  </si>
  <si>
    <t>39e83c6137d7063254ec6496dd3346eb</t>
  </si>
  <si>
    <t>90b6cfbd-5a4f-4bc5-bef2-f169cc4636ed</t>
  </si>
  <si>
    <t>13:00 - 22:00</t>
  </si>
  <si>
    <t>073e9b6c998416b26488a9fcc3d30ac0</t>
  </si>
  <si>
    <t>8264e363-76bc-4846-b9e2-7ed7452531ca</t>
  </si>
  <si>
    <t>VERWIJDERD</t>
  </si>
  <si>
    <t>6ed5ed1c947c3cc56aa9db6cd8755a5e</t>
  </si>
  <si>
    <t>19f9c5ab-8a7c-4c1f-af0d-393741aa1d2c</t>
  </si>
  <si>
    <t>1b983dba11c5b635af49dd52797fb7b4</t>
  </si>
  <si>
    <t>df523a8c-8363-415d-add8-64b6dd4cabdf</t>
  </si>
  <si>
    <t>7a0c12a2576a7e459b558dd7e7ad928f</t>
  </si>
  <si>
    <t>f0a13866-ca8b-4be0-aa4b-25930d7a3dfc</t>
  </si>
  <si>
    <t>6c82ac7abf3fa4a9c6cb9d13e2550a57</t>
  </si>
  <si>
    <t>f4bec917-072f-4836-a327-544cd1733c42</t>
  </si>
  <si>
    <t>f7d9a225d44d6bcd6afd05cfc3015186</t>
  </si>
  <si>
    <t>259dd5b6-7409-4fe3-834a-6b793c37ad64</t>
  </si>
  <si>
    <t>3c16594be748d79f83a99b1ebe3f8285</t>
  </si>
  <si>
    <t>cda5ae93-d0b7-4950-b0a2-564dd762bdfb</t>
  </si>
  <si>
    <t>8a35a3e9531dffac795deacdb6b31b7a</t>
  </si>
  <si>
    <t>2c758b9b-d9fb-4435-9cd2-30b6638ecd58</t>
  </si>
  <si>
    <t>b617157bc27051fa02c148745d4c681f</t>
  </si>
  <si>
    <t>f50db299-9867-43fa-bf99-c995192d3bcc</t>
  </si>
  <si>
    <t>c6c1a07c18524e457e32e168e18b0abe</t>
  </si>
  <si>
    <t>5f76f588-f403-4b33-b295-e87071af716d</t>
  </si>
  <si>
    <t>d680161a6d36559b2553fb7418c9b73c</t>
  </si>
  <si>
    <t>aea322a5-ca99-401c-b9ba-850e20d7d328</t>
  </si>
  <si>
    <t>91e86fda8a14460ae1f3e6712781403f</t>
  </si>
  <si>
    <t>2b0c1906-7a61-4b13-9749-c7b17f2acb13</t>
  </si>
  <si>
    <t>40443b25aea5ef3077b9c50d8f69719e</t>
  </si>
  <si>
    <t>2b6a9a5e-58bd-4c84-9185-d4be96ddf916</t>
  </si>
  <si>
    <t>16:00 - 19:00</t>
  </si>
  <si>
    <t>19fb13e61a3edbfe6628a7c950d74476</t>
  </si>
  <si>
    <t>b50ead38-1e02-4b76-9472-ace766a004fe</t>
  </si>
  <si>
    <t>17fa30c460e6d1ea881b5a7c5364d42c</t>
  </si>
  <si>
    <t>bfd5de4d-4598-4fae-9f24-d7e8df1aa1df</t>
  </si>
  <si>
    <t>54a5211142b44e73cf43eab7f5adc130</t>
  </si>
  <si>
    <t>077bf990-c856-4fde-b5c0-cef02502eb0d</t>
  </si>
  <si>
    <t>a4823605a4a17926e7223e7defc81ee2</t>
  </si>
  <si>
    <t>2ff263c8-f03b-4674-8db5-4280eac9dcf7</t>
  </si>
  <si>
    <t>8a2ad06390a972b8d53c32ecb274b7b4</t>
  </si>
  <si>
    <t>b4fa1794-5db8-4a10-9258-13323bec6964</t>
  </si>
  <si>
    <t>0e5c3a3768595917120aa2e8017ab92b</t>
  </si>
  <si>
    <t>09a47139-bf1e-4788-846a-f187d314880a</t>
  </si>
  <si>
    <t>c60b8645afc6c34c5693e24f0cccef06</t>
  </si>
  <si>
    <t>2b77f7c0-1f1b-4259-a72b-9cfd0408c20d</t>
  </si>
  <si>
    <t>e37c9360c1903ea621c9841e450659dc</t>
  </si>
  <si>
    <t>adaa9996-2c2f-4ded-8b2a-4eba621543ab</t>
  </si>
  <si>
    <t>76bf63bd72a6bb40d6a01eda1ad1e49d</t>
  </si>
  <si>
    <t>a1f68e40-33c4-4b9a-b3e0-cd0b76740c96</t>
  </si>
  <si>
    <t>0fc98ad98c905cd9e286592a0b972db5</t>
  </si>
  <si>
    <t>c25087e6-3663-4a47-9a66-48118fddee8b</t>
  </si>
  <si>
    <t>951e419da1bb47f3414e3f3bc8f1dedf</t>
  </si>
  <si>
    <t>86b6d88e-bff8-46a2-aabd-1f1fa1acede0</t>
  </si>
  <si>
    <t>4e8366c0b54dae1677b99567664e53a2</t>
  </si>
  <si>
    <t>c6a12e63-6797-4f67-8ce6-f2cf85274fc2</t>
  </si>
  <si>
    <t>0a80836995b0633172b6761ea177075f</t>
  </si>
  <si>
    <t>fadd6b04-9254-46e0-ae6b-25756924cf23</t>
  </si>
  <si>
    <t>c76fcd146a8215977285e5e83f1a5926</t>
  </si>
  <si>
    <t>3cc82d8d-20c9-4b4a-aaa3-c7e9a7514a26</t>
  </si>
  <si>
    <t>f416926f9a0d40e02a1c81556ab4627a</t>
  </si>
  <si>
    <t>b00cf71a-0df4-4102-8109-1cd1a6069f7a</t>
  </si>
  <si>
    <t>e59efa2aaab3960567481c6eeea7ac49</t>
  </si>
  <si>
    <t>748c7ac4-15ad-4560-ace7-df170faf56a9</t>
  </si>
  <si>
    <t>Bezig</t>
  </si>
  <si>
    <t>924b7d9a36293b3bf4ff7a5ef4c99ce2</t>
  </si>
  <si>
    <t>6g7FMX8Xwmv7rXP8</t>
  </si>
  <si>
    <t>b38edfd6-39ba-4d0a-b70b-4401f3f8c7ef</t>
  </si>
  <si>
    <t>4122ad513673205f283a531806a8f242</t>
  </si>
  <si>
    <t>6fq66fQqMJ7XXJj8</t>
  </si>
  <si>
    <t>4ca21a1f-7f79-48cb-9356-21f2889ea031</t>
  </si>
  <si>
    <t>4e4229d5c4649ea23b72a1ab5a222f0c</t>
  </si>
  <si>
    <t>6fq66fcMjw3hw7h8</t>
  </si>
  <si>
    <t>45d0b187-7b23-4bb2-af9e-31e5edb8a64f</t>
  </si>
  <si>
    <t>5c20880a1ed1db8511e9dad7b8946cbd</t>
  </si>
  <si>
    <t>6fpcV46CJhfpwPM8</t>
  </si>
  <si>
    <t>8aa3bc70-38a4-45ba-af83-51ff38d6fede</t>
  </si>
  <si>
    <t>031fc90a5525ab5ca9122c1a7883dc89</t>
  </si>
  <si>
    <t>6fq66fpw58Fcpf2g</t>
  </si>
  <si>
    <t>4d7a18fc-d9d4-44f1-9015-473b93ee8f1b</t>
  </si>
  <si>
    <t>a78b429668fd2560a2c265421c964132</t>
  </si>
  <si>
    <t>6g7w5m3M8F5cMmfg</t>
  </si>
  <si>
    <t>faab85ba-d6b6-4ae8-99fa-ba8432f82d97</t>
  </si>
  <si>
    <t>Opkomend</t>
  </si>
  <si>
    <t>5d3daece2c754ae143b0216408bfb002</t>
  </si>
  <si>
    <t>6fpcV49pmCPCqGG8</t>
  </si>
  <si>
    <t>a3d08d4b-4590-48cd-bfa7-bf5d45f8e66c</t>
  </si>
  <si>
    <t>676c376c250a3b67562252112dfcd50f</t>
  </si>
  <si>
    <t>6fq66fwwMP2H28mg</t>
  </si>
  <si>
    <t>b2140462-42e6-495f-ad44-c94030f6e5c6</t>
  </si>
  <si>
    <t>a12c6cc79bc4892678b82f9a0ab75ce0</t>
  </si>
  <si>
    <t>6fpcV4FhqxVrHpJ8</t>
  </si>
  <si>
    <t>582036fe-a65d-4757-abc2-c7ca31d5490d</t>
  </si>
  <si>
    <t>2df6c7209c4e92a7db6ae001ab255886</t>
  </si>
  <si>
    <t>6g8qm2gc8fHmqM58</t>
  </si>
  <si>
    <t>204e80ae-85a0-4283-bf5e-2df08062d469</t>
  </si>
  <si>
    <t>2026-13</t>
  </si>
  <si>
    <t>4ad97f39ddf1ecb44f0c4e64c8367a7c</t>
  </si>
  <si>
    <t>6fq66g7m4Jf5ghm8</t>
  </si>
  <si>
    <t>0afe7d8b-20b3-442f-9181-ac8322798c35</t>
  </si>
  <si>
    <t>2026-14</t>
  </si>
  <si>
    <t>e280d336eb2d628643ff2fc20d8090f1</t>
  </si>
  <si>
    <t>6fpcV4GjM52QXgjg</t>
  </si>
  <si>
    <t>7863a34d-45bf-4cf7-990b-eb83c83b7294</t>
  </si>
  <si>
    <t>e3ce8632d1966976da0b982ad60bafb9</t>
  </si>
  <si>
    <t>6fq66gJ4FvVqW6f8</t>
  </si>
  <si>
    <t>a53fc58d-3fc2-4327-b553-6b21762d673e</t>
  </si>
  <si>
    <t>a34f740959dfcde0bdc9ed320dc4c425</t>
  </si>
  <si>
    <t>6g7FMXqpxffvVCmg</t>
  </si>
  <si>
    <t>50474940-33d9-40cb-8d6a-b9672d3c10a6</t>
  </si>
  <si>
    <t>2026-15</t>
  </si>
  <si>
    <t>fb385890812f4e7d8d343ae41c98e733</t>
  </si>
  <si>
    <t>6g7FMXvc57287jP8</t>
  </si>
  <si>
    <t>400e55d2-d243-4ed9-abdf-c1691d1ef459</t>
  </si>
  <si>
    <t>915bebf0aa0539257e67f909905a65a1</t>
  </si>
  <si>
    <t>6g7FMXvqrFJRc5Vg</t>
  </si>
  <si>
    <t>bcee3534-0988-4718-92d6-928049fb51dc</t>
  </si>
  <si>
    <t>2026-16</t>
  </si>
  <si>
    <t>6c65203b6c94468349c76f135241fb38</t>
  </si>
  <si>
    <t>6g7FMc2Gx5HRXfq8</t>
  </si>
  <si>
    <t>85e34a81-9c0a-43e4-8189-3c83a372af06</t>
  </si>
  <si>
    <t>2026-17</t>
  </si>
  <si>
    <t>0494beb682ef7e869d502cedf889b49a</t>
  </si>
  <si>
    <t>6g7FMc4CC737m358</t>
  </si>
  <si>
    <t>ab5994ae-4c15-49a5-bffa-3e43e8cf86c7</t>
  </si>
  <si>
    <t>7b7dea264c1b86b92f2b4a7740097d6d</t>
  </si>
  <si>
    <t>6g7FMc47jrhp7mj8</t>
  </si>
  <si>
    <t>e184a848-6329-4a2a-a445-26554a1c6b15</t>
  </si>
  <si>
    <t>2026-18</t>
  </si>
  <si>
    <t>f5d37a5e4d49f850f1dba252e0e8b401</t>
  </si>
  <si>
    <t>6g7FMc94CH9hV5jg</t>
  </si>
  <si>
    <t>Diensten Dashboard – Overzicht</t>
  </si>
  <si>
    <t>A. Aantal diensten per Team</t>
  </si>
  <si>
    <t>B. Totaal uren per Shift Type</t>
  </si>
  <si>
    <t>C. Prioriteiten overzicht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</si>
</sst>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ss"/>
    <numFmt numFmtId="166" formatCode="yyyy-m"/>
  </numFmts>
  <fonts count="5">
    <font>
      <sz val="10.0"/>
      <color rgb="FF000000"/>
      <name val="Arial"/>
      <scheme val="minor"/>
    </font>
    <font>
      <b/>
      <color theme="1"/>
      <name val="Arial"/>
      <scheme val="minor"/>
    </font>
    <font>
      <color theme="1"/>
      <name val="Arial"/>
      <scheme val="minor"/>
    </font>
    <font>
      <b/>
      <sz val="24.0"/>
      <color rgb="FFFFFFFF"/>
      <name val="Arial"/>
    </font>
    <font>
      <b/>
      <color rgb="FFFFFFFF"/>
      <name val="Arial"/>
      <scheme val="minor"/>
    </font>
  </fonts>
  <fills count="4">
    <fill>
      <patternFill patternType="none"/>
    </fill>
    <fill>
      <patternFill patternType="lightGray"/>
    </fill>
    <fill>
      <patternFill patternType="solid">
        <fgColor rgb="FF1976D2"/>
        <bgColor rgb="FF1976D2"/>
      </patternFill>
    </fill>
    <fill>
      <patternFill patternType="solid">
        <fgColor rgb="FF4CAF50"/>
        <bgColor rgb="FF4CAF5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20"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14" xfId="0" applyAlignment="1" applyFont="1" applyNumberFormat="1">
      <alignment readingOrder="0"/>
    </xf>
    <xf borderId="0" fillId="0" fontId="2" numFmtId="0" xfId="0" applyFont="1"/>
    <xf borderId="0" fillId="0" fontId="2" numFmtId="166" xfId="0" applyAlignment="1" applyFont="1" applyNumberFormat="1">
      <alignment readingOrder="0"/>
    </xf>
    <xf borderId="0" fillId="2" fontId="3" numFmtId="0" xfId="0" applyAlignment="1" applyFill="1" applyFont="1">
      <alignment horizontal="center" readingOrder="0"/>
    </xf>
    <xf borderId="0" fillId="3" fontId="4" numFmtId="0" xfId="0" applyAlignment="1" applyFill="1" applyFont="1">
      <alignment horizontal="center" readingOrder="0"/>
    </xf>
  </cellXfs>
  <cellStyles count="1">
    <cellStyle xfId="0" name="Normal" builtinId="0"/>
  </cellStyles>
  <dxfs count="4">
    <dxf>
      <font/>
      <fill>
        <patternFill patternType="none"/>
      </fill>
      <border/>
    </dxf>
    <dxf>
      <font>
        <strike/>
        <color rgb="FFAAAAAA"/>
      </font>
      <fill>
        <patternFill patternType="solid">
          <fgColor rgb="FFEEEEEE"/>
          <bgColor rgb="FFEEEEEE"/>
        </patternFill>
      </fill>
      <border/>
    </dxf>
    <dxf>
      <font>
        <color rgb="FFFFFFFF"/>
      </font>
      <fill>
        <patternFill patternType="solid">
          <fgColor rgb="FFFF0000"/>
          <bgColor rgb="FFFF0000"/>
        </patternFill>
      </fill>
      <border/>
    </dxf>
    <dxf>
      <font/>
      <fill>
        <patternFill patternType="solid">
          <fgColor rgb="FFFFA500"/>
          <bgColor rgb="FFFFA5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Verdeling per Team</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dPt>
          <c:dPt>
            <c:idx val="9"/>
          </c:dPt>
          <c:dPt>
            <c:idx val="10"/>
          </c:dPt>
          <c:dPt>
            <c:idx val="11"/>
          </c:dPt>
          <c:dPt>
            <c:idx val="12"/>
          </c:dPt>
          <c:dPt>
            <c:idx val="13"/>
          </c:dPt>
          <c:dPt>
            <c:idx val="14"/>
          </c:dPt>
          <c:dPt>
            <c:idx val="15"/>
          </c:dPt>
          <c:dPt>
            <c:idx val="16"/>
          </c:dPt>
          <c:dLbls>
            <c:showLegendKey val="0"/>
            <c:showVal val="0"/>
            <c:showCatName val="0"/>
            <c:showSerName val="0"/>
            <c:showPercent val="0"/>
            <c:showBubbleSize val="0"/>
            <c:showLeaderLines val="1"/>
          </c:dLbls>
          <c:cat>
            <c:strRef>
              <c:f>Dashboard!$A$4:$A$20</c:f>
            </c:strRef>
          </c:cat>
          <c:val>
            <c:numRef>
              <c:f>Dashboard!$B$4:$B$20</c:f>
              <c:numCache/>
            </c:numRef>
          </c:val>
        </c:ser>
        <c:dLbls>
          <c:showLegendKey val="0"/>
          <c:showVal val="0"/>
          <c:showCatName val="0"/>
          <c:showSerName val="0"/>
          <c:showPercent val="0"/>
          <c:showBubbleSize val="0"/>
        </c:dLbls>
        <c:holeSize val="35"/>
      </c:doughnutChart>
    </c:plotArea>
    <c:legend>
      <c:legendPos val="r"/>
      <c:overlay val="0"/>
      <c:txPr>
        <a:bodyPr/>
        <a:lstStyle/>
        <a:p>
          <a:pPr lvl="0">
            <a:defRPr b="0">
              <a:solidFill>
                <a:srgbClr val="1A1A1A"/>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Uren per Shift Type</a:t>
            </a:r>
          </a:p>
        </c:rich>
      </c:tx>
      <c:overlay val="0"/>
    </c:title>
    <c:plotArea>
      <c:layout/>
      <c:barChart>
        <c:barDir val="col"/>
        <c:ser>
          <c:idx val="0"/>
          <c:order val="0"/>
          <c:spPr>
            <a:solidFill>
              <a:schemeClr val="accent1"/>
            </a:solidFill>
            <a:ln cmpd="sng">
              <a:solidFill>
                <a:srgbClr val="000000"/>
              </a:solidFill>
            </a:ln>
          </c:spPr>
          <c:val>
            <c:numRef>
              <c:f>Dashboard!$F$4:$F$20</c:f>
              <c:numCache/>
            </c:numRef>
          </c:val>
        </c:ser>
        <c:ser>
          <c:idx val="1"/>
          <c:order val="1"/>
          <c:val>
            <c:numRef>
              <c:f>Dashboard!$G$4:$G$20</c:f>
              <c:numCache/>
            </c:numRef>
          </c:val>
        </c:ser>
        <c:axId val="522938920"/>
        <c:axId val="1925013269"/>
      </c:barChart>
      <c:catAx>
        <c:axId val="522938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25013269"/>
      </c:catAx>
      <c:valAx>
        <c:axId val="19250132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2938920"/>
      </c:valAx>
    </c:plotArea>
    <c:legend>
      <c:legendPos val="r"/>
      <c:overlay val="0"/>
      <c:txPr>
        <a:bodyPr/>
        <a:lstStyle/>
        <a:p>
          <a:pPr lvl="0">
            <a:defRPr b="0">
              <a:solidFill>
                <a:srgbClr val="1A1A1A"/>
              </a:solidFill>
              <a:latin typeface="+mn-lt"/>
            </a:defRPr>
          </a:pPr>
        </a:p>
      </c:txPr>
    </c:legend>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3</xdr:row>
      <xdr:rowOff>0</xdr:rowOff>
    </xdr:from>
    <xdr:ext cx="4000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17</xdr:row>
      <xdr:rowOff>76200</xdr:rowOff>
    </xdr:from>
    <xdr:ext cx="4000500" cy="2857500"/>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1</xdr:row>
      <xdr:rowOff>0</xdr:rowOff>
    </xdr:from>
    <xdr:ext cx="2857500" cy="2857500"/>
    <mc:AlternateContent>
      <mc:Choice Requires="sle15">
        <xdr:graphicFrame>
          <xdr:nvGraphicFramePr>
            <xdr:cNvPr id="1" name="Team Prefix_1"/>
            <xdr:cNvGraphicFramePr/>
          </xdr:nvGraphicFramePr>
          <xdr:xfrm>
            <a:off x="0" y="0"/>
            <a:ext cx="0" cy="0"/>
          </xdr:xfrm>
          <a:graphic>
            <a:graphicData uri="http://schemas.microsoft.com/office/drawing/2010/slicer">
              <x3Unk:slicer name="Team Prefix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0</xdr:colOff>
      <xdr:row>7</xdr:row>
      <xdr:rowOff>0</xdr:rowOff>
    </xdr:from>
    <xdr:ext cx="2857500" cy="2857500"/>
    <mc:AlternateContent>
      <mc:Choice Requires="sle15">
        <xdr:graphicFrame>
          <xdr:nvGraphicFramePr>
            <xdr:cNvPr id="2" name="Prioriteit_2"/>
            <xdr:cNvGraphicFramePr/>
          </xdr:nvGraphicFramePr>
          <xdr:xfrm>
            <a:off x="0" y="0"/>
            <a:ext cx="0" cy="0"/>
          </xdr:xfrm>
          <a:graphic>
            <a:graphicData uri="http://schemas.microsoft.com/office/drawing/2010/slicer">
              <x3Unk:slicer name="Prioritei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Team Prefix">
  <x14:extLst>
    <ext uri="{2F2917AC-EB37-4324-AD4E-5DD8C200BD13}">
      <x15:tableSlicerCache tableId="1" column="9"/>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Prioriteit">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eam Prefix_1" cache="SlicerCache_Table_1_Col_9" caption="Team Prefix" rowHeight="247650"/>
  <x14:slicer name="Prioriteit_2" cache="SlicerCache_Table_1_Col_11" caption="Prioriteit" rowHeight="247650"/>
</x14:slicers>
</file>

<file path=xl/tables/table1.xml><?xml version="1.0" encoding="utf-8"?>
<table xmlns="http://schemas.openxmlformats.org/spreadsheetml/2006/main" ref="A1:T133" displayName="Table_1" name="Table_1" id="1">
  <autoFilter ref="$A$1:$T$133"/>
  <tableColumns count="20">
    <tableColumn name="Event ID" id="1"/>
    <tableColumn name="Titel" id="2"/>
    <tableColumn name="Start Datum" id="3"/>
    <tableColumn name="Start Tijd" id="4"/>
    <tableColumn name="Eind Datum" id="5"/>
    <tableColumn name="Eind Tijd" id="6"/>
    <tableColumn name="Werktijd" id="7"/>
    <tableColumn name="Locatie" id="8"/>
    <tableColumn name="Team Prefix" id="9"/>
    <tableColumn name="Shift Type" id="10"/>
    <tableColumn name="Prioriteit" id="11"/>
    <tableColumn name="Duur (uur)" id="12"/>
    <tableColumn name="Weeknr" id="13"/>
    <tableColumn name="Dag" id="14"/>
    <tableColumn name="Status" id="15"/>
    <tableColumn name="Beschrijving" id="16"/>
    <tableColumn name="Hele Dag" id="17"/>
    <tableColumn name="Hash" id="18"/>
    <tableColumn name="Todoist ID" id="19"/>
    <tableColumn name="Laatst Bijgewerkt" id="2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88"/>
    <col customWidth="1" min="2" max="2" width="5.5"/>
    <col customWidth="1" min="3" max="3" width="9.75"/>
    <col customWidth="1" min="4" max="4" width="9.13"/>
    <col customWidth="1" min="5" max="5" width="9.25"/>
    <col customWidth="1" min="6" max="6" width="9.13"/>
    <col customWidth="1" min="7" max="7" width="10.25"/>
    <col customWidth="1" min="8" max="8" width="29.5"/>
    <col customWidth="1" min="9" max="9" width="9.75"/>
    <col customWidth="1" min="10" max="10" width="8.38"/>
    <col customWidth="1" min="11" max="11" width="7.38"/>
    <col customWidth="1" min="12" max="12" width="8.38"/>
    <col customWidth="1" min="13" max="13" width="7.25"/>
    <col customWidth="1" min="14" max="15" width="8.88"/>
    <col customWidth="1" min="16" max="16" width="10.0"/>
    <col customWidth="1" min="17" max="17" width="7.5"/>
    <col customWidth="1" min="18" max="18" width="30.0"/>
    <col customWidth="1" min="19" max="19" width="15.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row>
    <row r="2">
      <c r="A2" s="2" t="s">
        <v>20</v>
      </c>
      <c r="B2" s="2" t="s">
        <v>21</v>
      </c>
      <c r="C2" s="3">
        <v>45833.0</v>
      </c>
      <c r="D2" s="4">
        <v>0.6145833333321207</v>
      </c>
      <c r="E2" s="3">
        <v>45833.0</v>
      </c>
      <c r="F2" s="4">
        <v>0.9166666666678793</v>
      </c>
      <c r="G2" s="2" t="s">
        <v>22</v>
      </c>
      <c r="H2" s="2" t="s">
        <v>23</v>
      </c>
      <c r="I2" s="2" t="s">
        <v>24</v>
      </c>
      <c r="J2" s="2" t="s">
        <v>25</v>
      </c>
      <c r="K2" s="5">
        <v>2.0</v>
      </c>
      <c r="L2" s="5">
        <v>7.25</v>
      </c>
      <c r="M2" s="2" t="s">
        <v>26</v>
      </c>
      <c r="N2" s="2" t="s">
        <v>27</v>
      </c>
      <c r="O2" s="2" t="s">
        <v>28</v>
      </c>
      <c r="Q2" s="2" t="s">
        <v>29</v>
      </c>
      <c r="R2" s="2" t="s">
        <v>30</v>
      </c>
      <c r="S2" s="6">
        <v>45988.946122685185</v>
      </c>
    </row>
    <row r="3">
      <c r="A3" s="2" t="s">
        <v>31</v>
      </c>
      <c r="B3" s="2" t="s">
        <v>21</v>
      </c>
      <c r="C3" s="3">
        <v>45837.0</v>
      </c>
      <c r="D3" s="4">
        <v>0.2916666666678793</v>
      </c>
      <c r="E3" s="3">
        <v>45837.0</v>
      </c>
      <c r="F3" s="4">
        <v>0.5</v>
      </c>
      <c r="G3" s="2" t="s">
        <v>32</v>
      </c>
      <c r="H3" s="2" t="s">
        <v>33</v>
      </c>
      <c r="I3" s="2" t="s">
        <v>34</v>
      </c>
      <c r="J3" s="2" t="s">
        <v>35</v>
      </c>
      <c r="K3" s="5">
        <v>4.0</v>
      </c>
      <c r="L3" s="5">
        <v>5.0</v>
      </c>
      <c r="M3" s="2" t="s">
        <v>36</v>
      </c>
      <c r="N3" s="2" t="s">
        <v>37</v>
      </c>
      <c r="O3" s="2" t="s">
        <v>28</v>
      </c>
      <c r="Q3" s="2" t="s">
        <v>29</v>
      </c>
      <c r="R3" s="2" t="s">
        <v>38</v>
      </c>
      <c r="S3" s="6">
        <v>45988.946122685185</v>
      </c>
    </row>
    <row r="4">
      <c r="A4" s="2" t="s">
        <v>39</v>
      </c>
      <c r="B4" s="2" t="s">
        <v>21</v>
      </c>
      <c r="C4" s="3">
        <v>45838.0</v>
      </c>
      <c r="D4" s="4">
        <v>0.6145833333321207</v>
      </c>
      <c r="E4" s="3">
        <v>45838.0</v>
      </c>
      <c r="F4" s="4">
        <v>0.9166666666678793</v>
      </c>
      <c r="G4" s="2" t="s">
        <v>22</v>
      </c>
      <c r="H4" s="2" t="s">
        <v>23</v>
      </c>
      <c r="I4" s="2" t="s">
        <v>24</v>
      </c>
      <c r="J4" s="2" t="s">
        <v>25</v>
      </c>
      <c r="K4" s="5">
        <v>2.0</v>
      </c>
      <c r="L4" s="5">
        <v>7.25</v>
      </c>
      <c r="M4" s="2" t="s">
        <v>36</v>
      </c>
      <c r="N4" s="2" t="s">
        <v>40</v>
      </c>
      <c r="O4" s="2" t="s">
        <v>28</v>
      </c>
      <c r="Q4" s="2" t="s">
        <v>29</v>
      </c>
      <c r="R4" s="2" t="s">
        <v>41</v>
      </c>
      <c r="S4" s="6">
        <v>45988.946122685185</v>
      </c>
    </row>
    <row r="5">
      <c r="A5" s="2" t="s">
        <v>42</v>
      </c>
      <c r="B5" s="2" t="s">
        <v>21</v>
      </c>
      <c r="C5" s="3">
        <v>45840.0</v>
      </c>
      <c r="D5" s="4">
        <v>0.6041666666678793</v>
      </c>
      <c r="E5" s="3">
        <v>45840.0</v>
      </c>
      <c r="F5" s="4">
        <v>0.9166666666678793</v>
      </c>
      <c r="G5" s="2" t="s">
        <v>43</v>
      </c>
      <c r="H5" s="2" t="s">
        <v>33</v>
      </c>
      <c r="I5" s="2" t="s">
        <v>34</v>
      </c>
      <c r="J5" s="2" t="s">
        <v>25</v>
      </c>
      <c r="K5" s="5">
        <v>2.0</v>
      </c>
      <c r="L5" s="5">
        <v>7.5</v>
      </c>
      <c r="M5" s="2" t="s">
        <v>36</v>
      </c>
      <c r="N5" s="2" t="s">
        <v>27</v>
      </c>
      <c r="O5" s="2" t="s">
        <v>28</v>
      </c>
      <c r="Q5" s="2" t="s">
        <v>29</v>
      </c>
      <c r="R5" s="2" t="s">
        <v>44</v>
      </c>
      <c r="S5" s="6">
        <v>45988.946122685185</v>
      </c>
    </row>
    <row r="6">
      <c r="A6" s="2" t="s">
        <v>45</v>
      </c>
      <c r="B6" s="2" t="s">
        <v>21</v>
      </c>
      <c r="C6" s="3">
        <v>45842.0</v>
      </c>
      <c r="D6" s="4">
        <v>0.2916666666678793</v>
      </c>
      <c r="E6" s="3">
        <v>45842.0</v>
      </c>
      <c r="F6" s="4">
        <v>0.625</v>
      </c>
      <c r="G6" s="2" t="s">
        <v>46</v>
      </c>
      <c r="H6" s="2" t="s">
        <v>23</v>
      </c>
      <c r="I6" s="2" t="s">
        <v>24</v>
      </c>
      <c r="J6" s="2" t="s">
        <v>35</v>
      </c>
      <c r="K6" s="5">
        <v>4.0</v>
      </c>
      <c r="L6" s="5">
        <v>8.0</v>
      </c>
      <c r="M6" s="2" t="s">
        <v>36</v>
      </c>
      <c r="N6" s="2" t="s">
        <v>47</v>
      </c>
      <c r="O6" s="2" t="s">
        <v>28</v>
      </c>
      <c r="Q6" s="2" t="s">
        <v>29</v>
      </c>
      <c r="R6" s="2" t="s">
        <v>48</v>
      </c>
      <c r="S6" s="6">
        <v>45988.946122685185</v>
      </c>
    </row>
    <row r="7">
      <c r="A7" s="2" t="s">
        <v>49</v>
      </c>
      <c r="B7" s="2" t="s">
        <v>21</v>
      </c>
      <c r="C7" s="3">
        <v>45843.0</v>
      </c>
      <c r="D7" s="4">
        <v>0.6041666666678793</v>
      </c>
      <c r="E7" s="3">
        <v>45843.0</v>
      </c>
      <c r="F7" s="4">
        <v>0.9166666666678793</v>
      </c>
      <c r="G7" s="2" t="s">
        <v>43</v>
      </c>
      <c r="H7" s="2" t="s">
        <v>23</v>
      </c>
      <c r="I7" s="2" t="s">
        <v>24</v>
      </c>
      <c r="J7" s="2" t="s">
        <v>25</v>
      </c>
      <c r="K7" s="5">
        <v>2.0</v>
      </c>
      <c r="L7" s="5">
        <v>7.5</v>
      </c>
      <c r="M7" s="2" t="s">
        <v>36</v>
      </c>
      <c r="N7" s="2" t="s">
        <v>50</v>
      </c>
      <c r="O7" s="2" t="s">
        <v>28</v>
      </c>
      <c r="Q7" s="2" t="s">
        <v>29</v>
      </c>
      <c r="R7" s="2" t="s">
        <v>51</v>
      </c>
      <c r="S7" s="6">
        <v>45988.946122685185</v>
      </c>
    </row>
    <row r="8">
      <c r="A8" s="2" t="s">
        <v>52</v>
      </c>
      <c r="B8" s="2" t="s">
        <v>21</v>
      </c>
      <c r="C8" s="3">
        <v>45844.0</v>
      </c>
      <c r="D8" s="4">
        <v>0.6041666666678793</v>
      </c>
      <c r="E8" s="3">
        <v>45844.0</v>
      </c>
      <c r="F8" s="4">
        <v>0.9166666666678793</v>
      </c>
      <c r="G8" s="2" t="s">
        <v>43</v>
      </c>
      <c r="H8" s="2" t="s">
        <v>23</v>
      </c>
      <c r="I8" s="2" t="s">
        <v>24</v>
      </c>
      <c r="J8" s="2" t="s">
        <v>25</v>
      </c>
      <c r="K8" s="5">
        <v>2.0</v>
      </c>
      <c r="L8" s="5">
        <v>7.5</v>
      </c>
      <c r="M8" s="2" t="s">
        <v>53</v>
      </c>
      <c r="N8" s="2" t="s">
        <v>37</v>
      </c>
      <c r="O8" s="2" t="s">
        <v>28</v>
      </c>
      <c r="Q8" s="2" t="s">
        <v>29</v>
      </c>
      <c r="R8" s="2" t="s">
        <v>54</v>
      </c>
      <c r="S8" s="6">
        <v>45988.946122685185</v>
      </c>
    </row>
    <row r="9">
      <c r="A9" s="2" t="s">
        <v>55</v>
      </c>
      <c r="B9" s="2" t="s">
        <v>21</v>
      </c>
      <c r="C9" s="3">
        <v>45846.0</v>
      </c>
      <c r="D9" s="4">
        <v>0.3958333333321207</v>
      </c>
      <c r="E9" s="3">
        <v>45846.0</v>
      </c>
      <c r="F9" s="4">
        <v>0.6458333333321207</v>
      </c>
      <c r="G9" s="2" t="s">
        <v>56</v>
      </c>
      <c r="H9" s="2" t="s">
        <v>23</v>
      </c>
      <c r="I9" s="2" t="s">
        <v>24</v>
      </c>
      <c r="J9" s="2" t="s">
        <v>35</v>
      </c>
      <c r="K9" s="5">
        <v>4.0</v>
      </c>
      <c r="L9" s="5">
        <v>6.0</v>
      </c>
      <c r="M9" s="2" t="s">
        <v>53</v>
      </c>
      <c r="N9" s="2" t="s">
        <v>57</v>
      </c>
      <c r="O9" s="2" t="s">
        <v>28</v>
      </c>
      <c r="Q9" s="2" t="s">
        <v>29</v>
      </c>
      <c r="R9" s="2" t="s">
        <v>58</v>
      </c>
      <c r="S9" s="6">
        <v>45988.946122685185</v>
      </c>
    </row>
    <row r="10">
      <c r="A10" s="2" t="s">
        <v>59</v>
      </c>
      <c r="B10" s="2" t="s">
        <v>21</v>
      </c>
      <c r="C10" s="3">
        <v>45847.0</v>
      </c>
      <c r="D10" s="4">
        <v>0.6041666666678793</v>
      </c>
      <c r="E10" s="3">
        <v>45847.0</v>
      </c>
      <c r="F10" s="4">
        <v>0.9166666666678793</v>
      </c>
      <c r="G10" s="2" t="s">
        <v>43</v>
      </c>
      <c r="H10" s="2" t="s">
        <v>33</v>
      </c>
      <c r="I10" s="2" t="s">
        <v>34</v>
      </c>
      <c r="J10" s="2" t="s">
        <v>25</v>
      </c>
      <c r="K10" s="5">
        <v>2.0</v>
      </c>
      <c r="L10" s="5">
        <v>7.5</v>
      </c>
      <c r="M10" s="2" t="s">
        <v>53</v>
      </c>
      <c r="N10" s="2" t="s">
        <v>27</v>
      </c>
      <c r="O10" s="2" t="s">
        <v>28</v>
      </c>
      <c r="Q10" s="2" t="s">
        <v>29</v>
      </c>
      <c r="R10" s="2" t="s">
        <v>60</v>
      </c>
      <c r="S10" s="6">
        <v>45988.946122685185</v>
      </c>
    </row>
    <row r="11">
      <c r="A11" s="2" t="s">
        <v>61</v>
      </c>
      <c r="B11" s="2" t="s">
        <v>21</v>
      </c>
      <c r="C11" s="3">
        <v>45848.0</v>
      </c>
      <c r="D11" s="4">
        <v>0.6145833333321207</v>
      </c>
      <c r="E11" s="3">
        <v>45848.0</v>
      </c>
      <c r="F11" s="4">
        <v>0.9166666666678793</v>
      </c>
      <c r="G11" s="2" t="s">
        <v>22</v>
      </c>
      <c r="H11" s="2" t="s">
        <v>23</v>
      </c>
      <c r="I11" s="2" t="s">
        <v>24</v>
      </c>
      <c r="J11" s="2" t="s">
        <v>25</v>
      </c>
      <c r="K11" s="5">
        <v>2.0</v>
      </c>
      <c r="L11" s="5">
        <v>7.25</v>
      </c>
      <c r="M11" s="2" t="s">
        <v>53</v>
      </c>
      <c r="N11" s="2" t="s">
        <v>62</v>
      </c>
      <c r="O11" s="2" t="s">
        <v>28</v>
      </c>
      <c r="Q11" s="2" t="s">
        <v>29</v>
      </c>
      <c r="R11" s="2" t="s">
        <v>63</v>
      </c>
      <c r="S11" s="6">
        <v>45988.946122685185</v>
      </c>
    </row>
    <row r="12">
      <c r="A12" s="2" t="s">
        <v>64</v>
      </c>
      <c r="B12" s="2" t="s">
        <v>21</v>
      </c>
      <c r="C12" s="3">
        <v>45855.0</v>
      </c>
      <c r="D12" s="4">
        <v>0.2916666666678793</v>
      </c>
      <c r="E12" s="3">
        <v>45855.0</v>
      </c>
      <c r="F12" s="4">
        <v>0.6145833333321207</v>
      </c>
      <c r="G12" s="2" t="s">
        <v>65</v>
      </c>
      <c r="H12" s="2" t="s">
        <v>33</v>
      </c>
      <c r="I12" s="2" t="s">
        <v>34</v>
      </c>
      <c r="J12" s="2" t="s">
        <v>35</v>
      </c>
      <c r="K12" s="5">
        <v>4.0</v>
      </c>
      <c r="L12" s="5">
        <v>7.75</v>
      </c>
      <c r="M12" s="2" t="s">
        <v>66</v>
      </c>
      <c r="N12" s="2" t="s">
        <v>62</v>
      </c>
      <c r="O12" s="2" t="s">
        <v>28</v>
      </c>
      <c r="Q12" s="2" t="s">
        <v>29</v>
      </c>
      <c r="R12" s="2" t="s">
        <v>67</v>
      </c>
      <c r="S12" s="6">
        <v>45988.946122685185</v>
      </c>
    </row>
    <row r="13">
      <c r="A13" s="2" t="s">
        <v>68</v>
      </c>
      <c r="B13" s="2" t="s">
        <v>21</v>
      </c>
      <c r="C13" s="3">
        <v>45859.0</v>
      </c>
      <c r="D13" s="4">
        <v>0.2916666666678793</v>
      </c>
      <c r="E13" s="3">
        <v>45859.0</v>
      </c>
      <c r="F13" s="4">
        <v>0.625</v>
      </c>
      <c r="G13" s="2" t="s">
        <v>46</v>
      </c>
      <c r="H13" s="2" t="s">
        <v>23</v>
      </c>
      <c r="I13" s="2" t="s">
        <v>24</v>
      </c>
      <c r="J13" s="2" t="s">
        <v>35</v>
      </c>
      <c r="K13" s="5">
        <v>4.0</v>
      </c>
      <c r="L13" s="5">
        <v>8.0</v>
      </c>
      <c r="M13" s="2" t="s">
        <v>69</v>
      </c>
      <c r="N13" s="2" t="s">
        <v>40</v>
      </c>
      <c r="O13" s="2" t="s">
        <v>28</v>
      </c>
      <c r="Q13" s="2" t="s">
        <v>29</v>
      </c>
      <c r="R13" s="2" t="s">
        <v>70</v>
      </c>
      <c r="S13" s="6">
        <v>45988.946122685185</v>
      </c>
    </row>
    <row r="14">
      <c r="A14" s="2" t="s">
        <v>71</v>
      </c>
      <c r="B14" s="2" t="s">
        <v>21</v>
      </c>
      <c r="C14" s="3">
        <v>45861.0</v>
      </c>
      <c r="D14" s="4">
        <v>0.2916666666678793</v>
      </c>
      <c r="E14" s="3">
        <v>45861.0</v>
      </c>
      <c r="F14" s="4">
        <v>0.6145833333321207</v>
      </c>
      <c r="G14" s="2" t="s">
        <v>65</v>
      </c>
      <c r="H14" s="2" t="s">
        <v>33</v>
      </c>
      <c r="I14" s="2" t="s">
        <v>34</v>
      </c>
      <c r="J14" s="2" t="s">
        <v>35</v>
      </c>
      <c r="K14" s="5">
        <v>4.0</v>
      </c>
      <c r="L14" s="5">
        <v>7.75</v>
      </c>
      <c r="M14" s="2" t="s">
        <v>69</v>
      </c>
      <c r="N14" s="2" t="s">
        <v>27</v>
      </c>
      <c r="O14" s="2" t="s">
        <v>28</v>
      </c>
      <c r="Q14" s="2" t="s">
        <v>29</v>
      </c>
      <c r="R14" s="2" t="s">
        <v>72</v>
      </c>
      <c r="S14" s="6">
        <v>45988.946122685185</v>
      </c>
    </row>
    <row r="15">
      <c r="A15" s="2" t="s">
        <v>73</v>
      </c>
      <c r="B15" s="2" t="s">
        <v>21</v>
      </c>
      <c r="C15" s="3">
        <v>45865.0</v>
      </c>
      <c r="D15" s="4">
        <v>0.2916666666678793</v>
      </c>
      <c r="E15" s="3">
        <v>45865.0</v>
      </c>
      <c r="F15" s="4">
        <v>0.6041666666678793</v>
      </c>
      <c r="G15" s="2" t="s">
        <v>74</v>
      </c>
      <c r="H15" s="2" t="s">
        <v>23</v>
      </c>
      <c r="I15" s="2" t="s">
        <v>24</v>
      </c>
      <c r="J15" s="2" t="s">
        <v>35</v>
      </c>
      <c r="K15" s="5">
        <v>4.0</v>
      </c>
      <c r="L15" s="5">
        <v>7.5</v>
      </c>
      <c r="M15" s="2" t="s">
        <v>75</v>
      </c>
      <c r="N15" s="2" t="s">
        <v>37</v>
      </c>
      <c r="O15" s="2" t="s">
        <v>28</v>
      </c>
      <c r="Q15" s="2" t="s">
        <v>29</v>
      </c>
      <c r="R15" s="2" t="s">
        <v>76</v>
      </c>
      <c r="S15" s="6">
        <v>45988.946122685185</v>
      </c>
    </row>
    <row r="16">
      <c r="A16" s="2" t="s">
        <v>77</v>
      </c>
      <c r="B16" s="2" t="s">
        <v>21</v>
      </c>
      <c r="C16" s="3">
        <v>45866.0</v>
      </c>
      <c r="D16" s="4">
        <v>0.2916666666678793</v>
      </c>
      <c r="E16" s="3">
        <v>45866.0</v>
      </c>
      <c r="F16" s="4">
        <v>0.625</v>
      </c>
      <c r="G16" s="2" t="s">
        <v>46</v>
      </c>
      <c r="H16" s="2" t="s">
        <v>23</v>
      </c>
      <c r="I16" s="2" t="s">
        <v>24</v>
      </c>
      <c r="J16" s="2" t="s">
        <v>35</v>
      </c>
      <c r="K16" s="5">
        <v>4.0</v>
      </c>
      <c r="L16" s="5">
        <v>8.0</v>
      </c>
      <c r="M16" s="2" t="s">
        <v>75</v>
      </c>
      <c r="N16" s="2" t="s">
        <v>40</v>
      </c>
      <c r="O16" s="2" t="s">
        <v>28</v>
      </c>
      <c r="Q16" s="2" t="s">
        <v>29</v>
      </c>
      <c r="R16" s="2" t="s">
        <v>78</v>
      </c>
      <c r="S16" s="6">
        <v>45988.946122685185</v>
      </c>
    </row>
    <row r="17">
      <c r="A17" s="2" t="s">
        <v>79</v>
      </c>
      <c r="B17" s="2" t="s">
        <v>21</v>
      </c>
      <c r="C17" s="3">
        <v>45868.0</v>
      </c>
      <c r="D17" s="4">
        <v>0.6041666666678793</v>
      </c>
      <c r="E17" s="3">
        <v>45868.0</v>
      </c>
      <c r="F17" s="4">
        <v>0.9166666666678793</v>
      </c>
      <c r="G17" s="2" t="s">
        <v>43</v>
      </c>
      <c r="H17" s="2" t="s">
        <v>33</v>
      </c>
      <c r="I17" s="2" t="s">
        <v>34</v>
      </c>
      <c r="J17" s="2" t="s">
        <v>25</v>
      </c>
      <c r="K17" s="5">
        <v>2.0</v>
      </c>
      <c r="L17" s="5">
        <v>7.5</v>
      </c>
      <c r="M17" s="2" t="s">
        <v>75</v>
      </c>
      <c r="N17" s="2" t="s">
        <v>27</v>
      </c>
      <c r="O17" s="2" t="s">
        <v>28</v>
      </c>
      <c r="Q17" s="2" t="s">
        <v>29</v>
      </c>
      <c r="R17" s="2" t="s">
        <v>80</v>
      </c>
      <c r="S17" s="6">
        <v>45988.946122685185</v>
      </c>
    </row>
    <row r="18">
      <c r="A18" s="2" t="s">
        <v>81</v>
      </c>
      <c r="B18" s="2" t="s">
        <v>21</v>
      </c>
      <c r="C18" s="3">
        <v>45869.0</v>
      </c>
      <c r="D18" s="4">
        <v>0.6145833333321207</v>
      </c>
      <c r="E18" s="3">
        <v>45869.0</v>
      </c>
      <c r="F18" s="4">
        <v>0.9166666666678793</v>
      </c>
      <c r="G18" s="2" t="s">
        <v>22</v>
      </c>
      <c r="H18" s="2" t="s">
        <v>23</v>
      </c>
      <c r="I18" s="2" t="s">
        <v>24</v>
      </c>
      <c r="J18" s="2" t="s">
        <v>25</v>
      </c>
      <c r="K18" s="5">
        <v>2.0</v>
      </c>
      <c r="L18" s="5">
        <v>7.25</v>
      </c>
      <c r="M18" s="2" t="s">
        <v>75</v>
      </c>
      <c r="N18" s="2" t="s">
        <v>62</v>
      </c>
      <c r="O18" s="2" t="s">
        <v>28</v>
      </c>
      <c r="Q18" s="2" t="s">
        <v>29</v>
      </c>
      <c r="R18" s="2" t="s">
        <v>82</v>
      </c>
      <c r="S18" s="6">
        <v>45988.946122685185</v>
      </c>
    </row>
    <row r="19">
      <c r="A19" s="2" t="s">
        <v>83</v>
      </c>
      <c r="B19" s="2" t="s">
        <v>21</v>
      </c>
      <c r="C19" s="3">
        <v>45870.0</v>
      </c>
      <c r="D19" s="4">
        <v>0.6041666666678793</v>
      </c>
      <c r="E19" s="3">
        <v>45870.0</v>
      </c>
      <c r="F19" s="4">
        <v>0.9166666666678793</v>
      </c>
      <c r="G19" s="2" t="s">
        <v>43</v>
      </c>
      <c r="H19" s="2" t="s">
        <v>33</v>
      </c>
      <c r="I19" s="2" t="s">
        <v>34</v>
      </c>
      <c r="J19" s="2" t="s">
        <v>25</v>
      </c>
      <c r="K19" s="5">
        <v>2.0</v>
      </c>
      <c r="L19" s="5">
        <v>7.5</v>
      </c>
      <c r="M19" s="2" t="s">
        <v>75</v>
      </c>
      <c r="N19" s="2" t="s">
        <v>47</v>
      </c>
      <c r="O19" s="2" t="s">
        <v>28</v>
      </c>
      <c r="Q19" s="2" t="s">
        <v>29</v>
      </c>
      <c r="R19" s="2" t="s">
        <v>84</v>
      </c>
      <c r="S19" s="6">
        <v>45988.946122685185</v>
      </c>
    </row>
    <row r="20">
      <c r="A20" s="2" t="s">
        <v>85</v>
      </c>
      <c r="B20" s="2" t="s">
        <v>21</v>
      </c>
      <c r="C20" s="3">
        <v>45871.0</v>
      </c>
      <c r="D20" s="4">
        <v>0.6041666666678793</v>
      </c>
      <c r="E20" s="3">
        <v>45871.0</v>
      </c>
      <c r="F20" s="4">
        <v>0.9166666666678793</v>
      </c>
      <c r="G20" s="2" t="s">
        <v>43</v>
      </c>
      <c r="H20" s="2" t="s">
        <v>23</v>
      </c>
      <c r="I20" s="2" t="s">
        <v>24</v>
      </c>
      <c r="J20" s="2" t="s">
        <v>25</v>
      </c>
      <c r="K20" s="5">
        <v>2.0</v>
      </c>
      <c r="L20" s="5">
        <v>7.5</v>
      </c>
      <c r="M20" s="2" t="s">
        <v>75</v>
      </c>
      <c r="N20" s="2" t="s">
        <v>50</v>
      </c>
      <c r="O20" s="2" t="s">
        <v>28</v>
      </c>
      <c r="Q20" s="2" t="s">
        <v>29</v>
      </c>
      <c r="R20" s="2" t="s">
        <v>86</v>
      </c>
      <c r="S20" s="6">
        <v>45988.946122685185</v>
      </c>
    </row>
    <row r="21">
      <c r="A21" s="2" t="s">
        <v>87</v>
      </c>
      <c r="B21" s="2" t="s">
        <v>21</v>
      </c>
      <c r="C21" s="3">
        <v>45872.0</v>
      </c>
      <c r="D21" s="4">
        <v>0.2916666666678793</v>
      </c>
      <c r="E21" s="3">
        <v>45872.0</v>
      </c>
      <c r="F21" s="4">
        <v>0.6041666666678793</v>
      </c>
      <c r="G21" s="2" t="s">
        <v>74</v>
      </c>
      <c r="H21" s="2" t="s">
        <v>23</v>
      </c>
      <c r="I21" s="2" t="s">
        <v>24</v>
      </c>
      <c r="J21" s="2" t="s">
        <v>35</v>
      </c>
      <c r="K21" s="5">
        <v>4.0</v>
      </c>
      <c r="L21" s="5">
        <v>7.5</v>
      </c>
      <c r="M21" s="2" t="s">
        <v>88</v>
      </c>
      <c r="N21" s="2" t="s">
        <v>37</v>
      </c>
      <c r="O21" s="2" t="s">
        <v>28</v>
      </c>
      <c r="Q21" s="2" t="s">
        <v>29</v>
      </c>
      <c r="R21" s="2" t="s">
        <v>89</v>
      </c>
      <c r="S21" s="6">
        <v>45988.946122685185</v>
      </c>
    </row>
    <row r="22">
      <c r="A22" s="2" t="s">
        <v>90</v>
      </c>
      <c r="B22" s="2" t="s">
        <v>21</v>
      </c>
      <c r="C22" s="3">
        <v>45874.0</v>
      </c>
      <c r="D22" s="4">
        <v>0.20833333333212067</v>
      </c>
      <c r="E22" s="3">
        <v>45874.0</v>
      </c>
      <c r="F22" s="4">
        <v>0.625</v>
      </c>
      <c r="G22" s="2" t="s">
        <v>91</v>
      </c>
      <c r="H22" s="2" t="s">
        <v>23</v>
      </c>
      <c r="I22" s="2" t="s">
        <v>24</v>
      </c>
      <c r="J22" s="2" t="s">
        <v>35</v>
      </c>
      <c r="K22" s="5">
        <v>4.0</v>
      </c>
      <c r="L22" s="5">
        <v>10.0</v>
      </c>
      <c r="M22" s="2" t="s">
        <v>88</v>
      </c>
      <c r="N22" s="2" t="s">
        <v>57</v>
      </c>
      <c r="O22" s="2" t="s">
        <v>28</v>
      </c>
      <c r="Q22" s="2" t="s">
        <v>29</v>
      </c>
      <c r="R22" s="2" t="s">
        <v>92</v>
      </c>
      <c r="S22" s="6">
        <v>45988.946122685185</v>
      </c>
    </row>
    <row r="23">
      <c r="A23" s="2" t="s">
        <v>93</v>
      </c>
      <c r="B23" s="2" t="s">
        <v>21</v>
      </c>
      <c r="C23" s="3">
        <v>45875.0</v>
      </c>
      <c r="D23" s="4">
        <v>0.6145833333321207</v>
      </c>
      <c r="E23" s="3">
        <v>45875.0</v>
      </c>
      <c r="F23" s="4">
        <v>0.9166666666678793</v>
      </c>
      <c r="G23" s="2" t="s">
        <v>22</v>
      </c>
      <c r="H23" s="2" t="s">
        <v>23</v>
      </c>
      <c r="I23" s="2" t="s">
        <v>24</v>
      </c>
      <c r="J23" s="2" t="s">
        <v>25</v>
      </c>
      <c r="K23" s="5">
        <v>2.0</v>
      </c>
      <c r="L23" s="5">
        <v>7.25</v>
      </c>
      <c r="M23" s="2" t="s">
        <v>88</v>
      </c>
      <c r="N23" s="2" t="s">
        <v>27</v>
      </c>
      <c r="O23" s="2" t="s">
        <v>28</v>
      </c>
      <c r="Q23" s="2" t="s">
        <v>29</v>
      </c>
      <c r="R23" s="2" t="s">
        <v>94</v>
      </c>
      <c r="S23" s="6">
        <v>45988.946122685185</v>
      </c>
    </row>
    <row r="24">
      <c r="A24" s="2" t="s">
        <v>95</v>
      </c>
      <c r="B24" s="2" t="s">
        <v>21</v>
      </c>
      <c r="C24" s="3">
        <v>45876.0</v>
      </c>
      <c r="D24" s="4">
        <v>0.6145833333321207</v>
      </c>
      <c r="E24" s="3">
        <v>45876.0</v>
      </c>
      <c r="F24" s="4">
        <v>0.9166666666678793</v>
      </c>
      <c r="G24" s="2" t="s">
        <v>22</v>
      </c>
      <c r="H24" s="2" t="s">
        <v>23</v>
      </c>
      <c r="I24" s="2" t="s">
        <v>24</v>
      </c>
      <c r="J24" s="2" t="s">
        <v>25</v>
      </c>
      <c r="K24" s="5">
        <v>2.0</v>
      </c>
      <c r="L24" s="5">
        <v>7.25</v>
      </c>
      <c r="M24" s="2" t="s">
        <v>88</v>
      </c>
      <c r="N24" s="2" t="s">
        <v>62</v>
      </c>
      <c r="O24" s="2" t="s">
        <v>28</v>
      </c>
      <c r="Q24" s="2" t="s">
        <v>29</v>
      </c>
      <c r="R24" s="2" t="s">
        <v>96</v>
      </c>
      <c r="S24" s="6">
        <v>45988.946122685185</v>
      </c>
    </row>
    <row r="25">
      <c r="A25" s="2" t="s">
        <v>97</v>
      </c>
      <c r="B25" s="2" t="s">
        <v>21</v>
      </c>
      <c r="C25" s="3">
        <v>45880.0</v>
      </c>
      <c r="D25" s="4">
        <v>0.2916666666678793</v>
      </c>
      <c r="E25" s="3">
        <v>45880.0</v>
      </c>
      <c r="F25" s="4">
        <v>0.625</v>
      </c>
      <c r="G25" s="2" t="s">
        <v>46</v>
      </c>
      <c r="H25" s="2" t="s">
        <v>23</v>
      </c>
      <c r="I25" s="2" t="s">
        <v>24</v>
      </c>
      <c r="J25" s="2" t="s">
        <v>35</v>
      </c>
      <c r="K25" s="5">
        <v>4.0</v>
      </c>
      <c r="L25" s="5">
        <v>8.0</v>
      </c>
      <c r="M25" s="2" t="s">
        <v>98</v>
      </c>
      <c r="N25" s="2" t="s">
        <v>40</v>
      </c>
      <c r="O25" s="2" t="s">
        <v>28</v>
      </c>
      <c r="Q25" s="2" t="s">
        <v>29</v>
      </c>
      <c r="R25" s="2" t="s">
        <v>99</v>
      </c>
      <c r="S25" s="6">
        <v>45988.946122685185</v>
      </c>
    </row>
    <row r="26">
      <c r="A26" s="2" t="s">
        <v>100</v>
      </c>
      <c r="B26" s="2" t="s">
        <v>21</v>
      </c>
      <c r="C26" s="3">
        <v>45883.0</v>
      </c>
      <c r="D26" s="4">
        <v>0.2916666666678793</v>
      </c>
      <c r="E26" s="3">
        <v>45883.0</v>
      </c>
      <c r="F26" s="4">
        <v>0.625</v>
      </c>
      <c r="G26" s="2" t="s">
        <v>46</v>
      </c>
      <c r="H26" s="2" t="s">
        <v>23</v>
      </c>
      <c r="I26" s="2" t="s">
        <v>24</v>
      </c>
      <c r="J26" s="2" t="s">
        <v>35</v>
      </c>
      <c r="K26" s="5">
        <v>4.0</v>
      </c>
      <c r="L26" s="5">
        <v>8.0</v>
      </c>
      <c r="M26" s="2" t="s">
        <v>98</v>
      </c>
      <c r="N26" s="2" t="s">
        <v>62</v>
      </c>
      <c r="O26" s="2" t="s">
        <v>28</v>
      </c>
      <c r="Q26" s="2" t="s">
        <v>29</v>
      </c>
      <c r="R26" s="2" t="s">
        <v>101</v>
      </c>
      <c r="S26" s="6">
        <v>45988.946122685185</v>
      </c>
    </row>
    <row r="27">
      <c r="A27" s="2" t="s">
        <v>102</v>
      </c>
      <c r="B27" s="2" t="s">
        <v>21</v>
      </c>
      <c r="C27" s="3">
        <v>45884.0</v>
      </c>
      <c r="D27" s="4">
        <v>0.2916666666678793</v>
      </c>
      <c r="E27" s="3">
        <v>45884.0</v>
      </c>
      <c r="F27" s="4">
        <v>0.625</v>
      </c>
      <c r="G27" s="2" t="s">
        <v>46</v>
      </c>
      <c r="H27" s="2" t="s">
        <v>23</v>
      </c>
      <c r="I27" s="2" t="s">
        <v>24</v>
      </c>
      <c r="J27" s="2" t="s">
        <v>35</v>
      </c>
      <c r="K27" s="5">
        <v>4.0</v>
      </c>
      <c r="L27" s="5">
        <v>8.0</v>
      </c>
      <c r="M27" s="2" t="s">
        <v>98</v>
      </c>
      <c r="N27" s="2" t="s">
        <v>47</v>
      </c>
      <c r="O27" s="2" t="s">
        <v>28</v>
      </c>
      <c r="Q27" s="2" t="s">
        <v>29</v>
      </c>
      <c r="R27" s="2" t="s">
        <v>103</v>
      </c>
      <c r="S27" s="6">
        <v>45988.946122685185</v>
      </c>
    </row>
    <row r="28">
      <c r="A28" s="2" t="s">
        <v>104</v>
      </c>
      <c r="B28" s="2" t="s">
        <v>21</v>
      </c>
      <c r="C28" s="3">
        <v>45885.0</v>
      </c>
      <c r="D28" s="4">
        <v>0.6041666666678793</v>
      </c>
      <c r="E28" s="3">
        <v>45885.0</v>
      </c>
      <c r="F28" s="4">
        <v>0.9166666666678793</v>
      </c>
      <c r="G28" s="2" t="s">
        <v>43</v>
      </c>
      <c r="H28" s="2" t="s">
        <v>23</v>
      </c>
      <c r="I28" s="2" t="s">
        <v>24</v>
      </c>
      <c r="J28" s="2" t="s">
        <v>25</v>
      </c>
      <c r="K28" s="5">
        <v>2.0</v>
      </c>
      <c r="L28" s="5">
        <v>7.5</v>
      </c>
      <c r="M28" s="2" t="s">
        <v>98</v>
      </c>
      <c r="N28" s="2" t="s">
        <v>50</v>
      </c>
      <c r="O28" s="2" t="s">
        <v>28</v>
      </c>
      <c r="Q28" s="2" t="s">
        <v>29</v>
      </c>
      <c r="R28" s="2" t="s">
        <v>105</v>
      </c>
      <c r="S28" s="6">
        <v>45988.946122685185</v>
      </c>
    </row>
    <row r="29">
      <c r="A29" s="2" t="s">
        <v>106</v>
      </c>
      <c r="B29" s="2" t="s">
        <v>21</v>
      </c>
      <c r="C29" s="3">
        <v>45886.0</v>
      </c>
      <c r="D29" s="4">
        <v>0.2916666666678793</v>
      </c>
      <c r="E29" s="3">
        <v>45886.0</v>
      </c>
      <c r="F29" s="4">
        <v>0.6041666666678793</v>
      </c>
      <c r="G29" s="2" t="s">
        <v>74</v>
      </c>
      <c r="H29" s="2" t="s">
        <v>23</v>
      </c>
      <c r="I29" s="2" t="s">
        <v>24</v>
      </c>
      <c r="J29" s="2" t="s">
        <v>35</v>
      </c>
      <c r="K29" s="5">
        <v>4.0</v>
      </c>
      <c r="L29" s="5">
        <v>7.5</v>
      </c>
      <c r="M29" s="2" t="s">
        <v>107</v>
      </c>
      <c r="N29" s="2" t="s">
        <v>37</v>
      </c>
      <c r="O29" s="2" t="s">
        <v>28</v>
      </c>
      <c r="Q29" s="2" t="s">
        <v>29</v>
      </c>
      <c r="R29" s="2" t="s">
        <v>108</v>
      </c>
      <c r="S29" s="6">
        <v>45988.946122685185</v>
      </c>
    </row>
    <row r="30">
      <c r="A30" s="2" t="s">
        <v>109</v>
      </c>
      <c r="B30" s="2" t="s">
        <v>21</v>
      </c>
      <c r="C30" s="3">
        <v>45887.0</v>
      </c>
      <c r="D30" s="4">
        <v>0.2916666666678793</v>
      </c>
      <c r="E30" s="3">
        <v>45887.0</v>
      </c>
      <c r="F30" s="4">
        <v>0.625</v>
      </c>
      <c r="G30" s="2" t="s">
        <v>46</v>
      </c>
      <c r="H30" s="2" t="s">
        <v>23</v>
      </c>
      <c r="I30" s="2" t="s">
        <v>24</v>
      </c>
      <c r="J30" s="2" t="s">
        <v>35</v>
      </c>
      <c r="K30" s="5">
        <v>4.0</v>
      </c>
      <c r="L30" s="5">
        <v>8.0</v>
      </c>
      <c r="M30" s="2" t="s">
        <v>107</v>
      </c>
      <c r="N30" s="2" t="s">
        <v>40</v>
      </c>
      <c r="O30" s="2" t="s">
        <v>28</v>
      </c>
      <c r="Q30" s="2" t="s">
        <v>29</v>
      </c>
      <c r="R30" s="2" t="s">
        <v>110</v>
      </c>
      <c r="S30" s="6">
        <v>45988.946122685185</v>
      </c>
    </row>
    <row r="31">
      <c r="A31" s="2" t="s">
        <v>111</v>
      </c>
      <c r="B31" s="2" t="s">
        <v>21</v>
      </c>
      <c r="C31" s="3">
        <v>45890.0</v>
      </c>
      <c r="D31" s="4">
        <v>0.2916666666678793</v>
      </c>
      <c r="E31" s="3">
        <v>45890.0</v>
      </c>
      <c r="F31" s="4">
        <v>0.6145833333321207</v>
      </c>
      <c r="G31" s="2" t="s">
        <v>65</v>
      </c>
      <c r="H31" s="2" t="s">
        <v>33</v>
      </c>
      <c r="I31" s="2" t="s">
        <v>34</v>
      </c>
      <c r="J31" s="2" t="s">
        <v>35</v>
      </c>
      <c r="K31" s="5">
        <v>4.0</v>
      </c>
      <c r="L31" s="5">
        <v>7.75</v>
      </c>
      <c r="M31" s="2" t="s">
        <v>107</v>
      </c>
      <c r="N31" s="2" t="s">
        <v>62</v>
      </c>
      <c r="O31" s="2" t="s">
        <v>28</v>
      </c>
      <c r="Q31" s="2" t="s">
        <v>29</v>
      </c>
      <c r="R31" s="2" t="s">
        <v>112</v>
      </c>
      <c r="S31" s="6">
        <v>45988.946122685185</v>
      </c>
    </row>
    <row r="32">
      <c r="A32" s="2" t="s">
        <v>113</v>
      </c>
      <c r="B32" s="2" t="s">
        <v>21</v>
      </c>
      <c r="C32" s="3">
        <v>45892.0</v>
      </c>
      <c r="D32" s="4">
        <v>0.2916666666678793</v>
      </c>
      <c r="E32" s="3">
        <v>45892.0</v>
      </c>
      <c r="F32" s="4">
        <v>0.6145833333321207</v>
      </c>
      <c r="G32" s="2" t="s">
        <v>65</v>
      </c>
      <c r="H32" s="2" t="s">
        <v>33</v>
      </c>
      <c r="I32" s="2" t="s">
        <v>34</v>
      </c>
      <c r="J32" s="2" t="s">
        <v>35</v>
      </c>
      <c r="K32" s="5">
        <v>4.0</v>
      </c>
      <c r="L32" s="5">
        <v>7.75</v>
      </c>
      <c r="M32" s="2" t="s">
        <v>107</v>
      </c>
      <c r="N32" s="2" t="s">
        <v>50</v>
      </c>
      <c r="O32" s="2" t="s">
        <v>28</v>
      </c>
      <c r="Q32" s="2" t="s">
        <v>29</v>
      </c>
      <c r="R32" s="2" t="s">
        <v>114</v>
      </c>
      <c r="S32" s="6">
        <v>45988.946122685185</v>
      </c>
    </row>
    <row r="33">
      <c r="A33" s="2" t="s">
        <v>115</v>
      </c>
      <c r="B33" s="2" t="s">
        <v>21</v>
      </c>
      <c r="C33" s="3">
        <v>45896.0</v>
      </c>
      <c r="D33" s="4">
        <v>0.2916666666678793</v>
      </c>
      <c r="E33" s="3">
        <v>45896.0</v>
      </c>
      <c r="F33" s="4">
        <v>0.6145833333321207</v>
      </c>
      <c r="G33" s="2" t="s">
        <v>65</v>
      </c>
      <c r="H33" s="2" t="s">
        <v>33</v>
      </c>
      <c r="I33" s="2" t="s">
        <v>34</v>
      </c>
      <c r="J33" s="2" t="s">
        <v>35</v>
      </c>
      <c r="K33" s="5">
        <v>4.0</v>
      </c>
      <c r="L33" s="5">
        <v>7.75</v>
      </c>
      <c r="M33" s="2" t="s">
        <v>116</v>
      </c>
      <c r="N33" s="2" t="s">
        <v>27</v>
      </c>
      <c r="O33" s="2" t="s">
        <v>28</v>
      </c>
      <c r="Q33" s="2" t="s">
        <v>29</v>
      </c>
      <c r="R33" s="2" t="s">
        <v>117</v>
      </c>
      <c r="S33" s="6">
        <v>45988.946122685185</v>
      </c>
    </row>
    <row r="34">
      <c r="A34" s="2" t="s">
        <v>118</v>
      </c>
      <c r="B34" s="2" t="s">
        <v>21</v>
      </c>
      <c r="C34" s="3">
        <v>45898.0</v>
      </c>
      <c r="D34" s="4">
        <v>0.2916666666678793</v>
      </c>
      <c r="E34" s="3">
        <v>45898.0</v>
      </c>
      <c r="F34" s="4">
        <v>0.625</v>
      </c>
      <c r="G34" s="2" t="s">
        <v>46</v>
      </c>
      <c r="H34" s="2" t="s">
        <v>23</v>
      </c>
      <c r="I34" s="2" t="s">
        <v>24</v>
      </c>
      <c r="J34" s="2" t="s">
        <v>35</v>
      </c>
      <c r="K34" s="5">
        <v>4.0</v>
      </c>
      <c r="L34" s="5">
        <v>8.0</v>
      </c>
      <c r="M34" s="2" t="s">
        <v>116</v>
      </c>
      <c r="N34" s="2" t="s">
        <v>47</v>
      </c>
      <c r="O34" s="2" t="s">
        <v>28</v>
      </c>
      <c r="Q34" s="2" t="s">
        <v>29</v>
      </c>
      <c r="R34" s="2" t="s">
        <v>119</v>
      </c>
      <c r="S34" s="6">
        <v>45988.946122685185</v>
      </c>
    </row>
    <row r="35">
      <c r="A35" s="2" t="s">
        <v>120</v>
      </c>
      <c r="B35" s="2" t="s">
        <v>21</v>
      </c>
      <c r="C35" s="3">
        <v>45900.0</v>
      </c>
      <c r="D35" s="4">
        <v>0.2916666666678793</v>
      </c>
      <c r="E35" s="3">
        <v>45900.0</v>
      </c>
      <c r="F35" s="4">
        <v>0.6041666666678793</v>
      </c>
      <c r="G35" s="2" t="s">
        <v>74</v>
      </c>
      <c r="H35" s="2" t="s">
        <v>23</v>
      </c>
      <c r="I35" s="2" t="s">
        <v>24</v>
      </c>
      <c r="J35" s="2" t="s">
        <v>35</v>
      </c>
      <c r="K35" s="5">
        <v>4.0</v>
      </c>
      <c r="L35" s="5">
        <v>7.5</v>
      </c>
      <c r="M35" s="2" t="s">
        <v>121</v>
      </c>
      <c r="N35" s="2" t="s">
        <v>37</v>
      </c>
      <c r="O35" s="2" t="s">
        <v>28</v>
      </c>
      <c r="Q35" s="2" t="s">
        <v>29</v>
      </c>
      <c r="R35" s="2" t="s">
        <v>122</v>
      </c>
      <c r="S35" s="6">
        <v>45988.946122685185</v>
      </c>
    </row>
    <row r="36">
      <c r="A36" s="2" t="s">
        <v>123</v>
      </c>
      <c r="B36" s="2" t="s">
        <v>21</v>
      </c>
      <c r="C36" s="3">
        <v>45902.0</v>
      </c>
      <c r="D36" s="4">
        <v>0.2916666666678793</v>
      </c>
      <c r="E36" s="3">
        <v>45902.0</v>
      </c>
      <c r="F36" s="4">
        <v>0.6145833333321207</v>
      </c>
      <c r="G36" s="2" t="s">
        <v>65</v>
      </c>
      <c r="H36" s="2" t="s">
        <v>33</v>
      </c>
      <c r="I36" s="2" t="s">
        <v>34</v>
      </c>
      <c r="J36" s="2" t="s">
        <v>35</v>
      </c>
      <c r="K36" s="5">
        <v>4.0</v>
      </c>
      <c r="L36" s="5">
        <v>7.75</v>
      </c>
      <c r="M36" s="2" t="s">
        <v>121</v>
      </c>
      <c r="N36" s="2" t="s">
        <v>57</v>
      </c>
      <c r="O36" s="2" t="s">
        <v>28</v>
      </c>
      <c r="Q36" s="2" t="s">
        <v>29</v>
      </c>
      <c r="R36" s="2" t="s">
        <v>124</v>
      </c>
      <c r="S36" s="6">
        <v>45988.946122685185</v>
      </c>
    </row>
    <row r="37">
      <c r="A37" s="2" t="s">
        <v>125</v>
      </c>
      <c r="B37" s="2" t="s">
        <v>21</v>
      </c>
      <c r="C37" s="3">
        <v>45904.0</v>
      </c>
      <c r="D37" s="4">
        <v>0.2916666666678793</v>
      </c>
      <c r="E37" s="3">
        <v>45904.0</v>
      </c>
      <c r="F37" s="4">
        <v>0.6145833333321207</v>
      </c>
      <c r="G37" s="2" t="s">
        <v>65</v>
      </c>
      <c r="H37" s="2" t="s">
        <v>33</v>
      </c>
      <c r="I37" s="2" t="s">
        <v>34</v>
      </c>
      <c r="J37" s="2" t="s">
        <v>35</v>
      </c>
      <c r="K37" s="5">
        <v>4.0</v>
      </c>
      <c r="L37" s="5">
        <v>7.75</v>
      </c>
      <c r="M37" s="2" t="s">
        <v>121</v>
      </c>
      <c r="N37" s="2" t="s">
        <v>62</v>
      </c>
      <c r="O37" s="2" t="s">
        <v>28</v>
      </c>
      <c r="Q37" s="2" t="s">
        <v>29</v>
      </c>
      <c r="R37" s="2" t="s">
        <v>126</v>
      </c>
      <c r="S37" s="6">
        <v>45988.946122685185</v>
      </c>
    </row>
    <row r="38">
      <c r="A38" s="2" t="s">
        <v>127</v>
      </c>
      <c r="B38" s="2" t="s">
        <v>21</v>
      </c>
      <c r="C38" s="3">
        <v>45905.0</v>
      </c>
      <c r="D38" s="4">
        <v>0.2916666666678793</v>
      </c>
      <c r="E38" s="3">
        <v>45905.0</v>
      </c>
      <c r="F38" s="4">
        <v>0.625</v>
      </c>
      <c r="G38" s="2" t="s">
        <v>46</v>
      </c>
      <c r="H38" s="2" t="s">
        <v>23</v>
      </c>
      <c r="I38" s="2" t="s">
        <v>24</v>
      </c>
      <c r="J38" s="2" t="s">
        <v>35</v>
      </c>
      <c r="K38" s="5">
        <v>4.0</v>
      </c>
      <c r="L38" s="5">
        <v>8.0</v>
      </c>
      <c r="M38" s="2" t="s">
        <v>121</v>
      </c>
      <c r="N38" s="2" t="s">
        <v>47</v>
      </c>
      <c r="O38" s="2" t="s">
        <v>28</v>
      </c>
      <c r="Q38" s="2" t="s">
        <v>29</v>
      </c>
      <c r="R38" s="2" t="s">
        <v>128</v>
      </c>
      <c r="S38" s="6">
        <v>45988.946122685185</v>
      </c>
    </row>
    <row r="39">
      <c r="A39" s="2" t="s">
        <v>129</v>
      </c>
      <c r="B39" s="2" t="s">
        <v>21</v>
      </c>
      <c r="C39" s="3">
        <v>45907.0</v>
      </c>
      <c r="D39" s="4">
        <v>0.6041666666678793</v>
      </c>
      <c r="E39" s="3">
        <v>45907.0</v>
      </c>
      <c r="F39" s="4">
        <v>0.9166666666678793</v>
      </c>
      <c r="G39" s="2" t="s">
        <v>43</v>
      </c>
      <c r="H39" s="2" t="s">
        <v>23</v>
      </c>
      <c r="I39" s="2" t="s">
        <v>24</v>
      </c>
      <c r="J39" s="2" t="s">
        <v>25</v>
      </c>
      <c r="K39" s="5">
        <v>2.0</v>
      </c>
      <c r="L39" s="5">
        <v>7.5</v>
      </c>
      <c r="M39" s="2" t="s">
        <v>130</v>
      </c>
      <c r="N39" s="2" t="s">
        <v>37</v>
      </c>
      <c r="O39" s="2" t="s">
        <v>28</v>
      </c>
      <c r="Q39" s="2" t="s">
        <v>29</v>
      </c>
      <c r="R39" s="2" t="s">
        <v>131</v>
      </c>
      <c r="S39" s="6">
        <v>45988.946122685185</v>
      </c>
    </row>
    <row r="40">
      <c r="A40" s="2" t="s">
        <v>132</v>
      </c>
      <c r="B40" s="2" t="s">
        <v>21</v>
      </c>
      <c r="C40" s="3">
        <v>45910.0</v>
      </c>
      <c r="D40" s="4">
        <v>0.6145833333321207</v>
      </c>
      <c r="E40" s="3">
        <v>45910.0</v>
      </c>
      <c r="F40" s="4">
        <v>0.9166666666678793</v>
      </c>
      <c r="G40" s="2" t="s">
        <v>22</v>
      </c>
      <c r="H40" s="2" t="s">
        <v>23</v>
      </c>
      <c r="I40" s="2" t="s">
        <v>24</v>
      </c>
      <c r="J40" s="2" t="s">
        <v>25</v>
      </c>
      <c r="K40" s="5">
        <v>2.0</v>
      </c>
      <c r="L40" s="5">
        <v>7.25</v>
      </c>
      <c r="M40" s="2" t="s">
        <v>130</v>
      </c>
      <c r="N40" s="2" t="s">
        <v>27</v>
      </c>
      <c r="O40" s="2" t="s">
        <v>28</v>
      </c>
      <c r="Q40" s="2" t="s">
        <v>29</v>
      </c>
      <c r="R40" s="2" t="s">
        <v>133</v>
      </c>
      <c r="S40" s="6">
        <v>45988.946122685185</v>
      </c>
    </row>
    <row r="41">
      <c r="A41" s="2" t="s">
        <v>134</v>
      </c>
      <c r="B41" s="2" t="s">
        <v>21</v>
      </c>
      <c r="C41" s="3">
        <v>45911.0</v>
      </c>
      <c r="D41" s="4">
        <v>0.6041666666678793</v>
      </c>
      <c r="E41" s="3">
        <v>45911.0</v>
      </c>
      <c r="F41" s="4">
        <v>0.9166666666678793</v>
      </c>
      <c r="G41" s="2" t="s">
        <v>43</v>
      </c>
      <c r="H41" s="2" t="s">
        <v>33</v>
      </c>
      <c r="I41" s="2" t="s">
        <v>34</v>
      </c>
      <c r="J41" s="2" t="s">
        <v>25</v>
      </c>
      <c r="K41" s="5">
        <v>2.0</v>
      </c>
      <c r="L41" s="5">
        <v>7.5</v>
      </c>
      <c r="M41" s="2" t="s">
        <v>130</v>
      </c>
      <c r="N41" s="2" t="s">
        <v>62</v>
      </c>
      <c r="O41" s="2" t="s">
        <v>28</v>
      </c>
      <c r="Q41" s="2" t="s">
        <v>29</v>
      </c>
      <c r="R41" s="2" t="s">
        <v>135</v>
      </c>
      <c r="S41" s="6">
        <v>45988.946122685185</v>
      </c>
    </row>
    <row r="42">
      <c r="A42" s="2" t="s">
        <v>136</v>
      </c>
      <c r="B42" s="2" t="s">
        <v>21</v>
      </c>
      <c r="C42" s="3">
        <v>45913.0</v>
      </c>
      <c r="D42" s="4">
        <v>0.6041666666678793</v>
      </c>
      <c r="E42" s="3">
        <v>45913.0</v>
      </c>
      <c r="F42" s="4">
        <v>0.9166666666678793</v>
      </c>
      <c r="G42" s="2" t="s">
        <v>43</v>
      </c>
      <c r="H42" s="2" t="s">
        <v>23</v>
      </c>
      <c r="I42" s="2" t="s">
        <v>24</v>
      </c>
      <c r="J42" s="2" t="s">
        <v>25</v>
      </c>
      <c r="K42" s="5">
        <v>2.0</v>
      </c>
      <c r="L42" s="5">
        <v>7.5</v>
      </c>
      <c r="M42" s="2" t="s">
        <v>130</v>
      </c>
      <c r="N42" s="2" t="s">
        <v>50</v>
      </c>
      <c r="O42" s="2" t="s">
        <v>28</v>
      </c>
      <c r="Q42" s="2" t="s">
        <v>29</v>
      </c>
      <c r="R42" s="2" t="s">
        <v>137</v>
      </c>
      <c r="S42" s="6">
        <v>45988.946122685185</v>
      </c>
    </row>
    <row r="43">
      <c r="A43" s="2" t="s">
        <v>138</v>
      </c>
      <c r="B43" s="2" t="s">
        <v>21</v>
      </c>
      <c r="C43" s="3">
        <v>45914.0</v>
      </c>
      <c r="D43" s="4">
        <v>0.2916666666678793</v>
      </c>
      <c r="E43" s="3">
        <v>45914.0</v>
      </c>
      <c r="F43" s="4">
        <v>0.6145833333321207</v>
      </c>
      <c r="G43" s="2" t="s">
        <v>65</v>
      </c>
      <c r="H43" s="2" t="s">
        <v>33</v>
      </c>
      <c r="I43" s="2" t="s">
        <v>34</v>
      </c>
      <c r="J43" s="2" t="s">
        <v>35</v>
      </c>
      <c r="K43" s="5">
        <v>4.0</v>
      </c>
      <c r="L43" s="5">
        <v>7.75</v>
      </c>
      <c r="M43" s="2" t="s">
        <v>139</v>
      </c>
      <c r="N43" s="2" t="s">
        <v>37</v>
      </c>
      <c r="O43" s="2" t="s">
        <v>28</v>
      </c>
      <c r="Q43" s="2" t="s">
        <v>29</v>
      </c>
      <c r="R43" s="2" t="s">
        <v>140</v>
      </c>
      <c r="S43" s="6">
        <v>45988.946122685185</v>
      </c>
    </row>
    <row r="44">
      <c r="A44" s="2" t="s">
        <v>141</v>
      </c>
      <c r="B44" s="2" t="s">
        <v>21</v>
      </c>
      <c r="C44" s="3">
        <v>45915.0</v>
      </c>
      <c r="D44" s="4">
        <v>0.6041666666678793</v>
      </c>
      <c r="E44" s="3">
        <v>45915.0</v>
      </c>
      <c r="F44" s="4">
        <v>0.9166666666678793</v>
      </c>
      <c r="G44" s="2" t="s">
        <v>43</v>
      </c>
      <c r="H44" s="2" t="s">
        <v>33</v>
      </c>
      <c r="I44" s="2" t="s">
        <v>34</v>
      </c>
      <c r="J44" s="2" t="s">
        <v>25</v>
      </c>
      <c r="K44" s="5">
        <v>2.0</v>
      </c>
      <c r="L44" s="5">
        <v>7.5</v>
      </c>
      <c r="M44" s="2" t="s">
        <v>139</v>
      </c>
      <c r="N44" s="2" t="s">
        <v>40</v>
      </c>
      <c r="O44" s="2" t="s">
        <v>28</v>
      </c>
      <c r="Q44" s="2" t="s">
        <v>29</v>
      </c>
      <c r="R44" s="2" t="s">
        <v>142</v>
      </c>
      <c r="S44" s="6">
        <v>45988.946122685185</v>
      </c>
    </row>
    <row r="45">
      <c r="A45" s="2" t="s">
        <v>143</v>
      </c>
      <c r="B45" s="2" t="s">
        <v>21</v>
      </c>
      <c r="C45" s="3">
        <v>45921.0</v>
      </c>
      <c r="D45" s="4">
        <v>0.6041666666678793</v>
      </c>
      <c r="E45" s="3">
        <v>45921.0</v>
      </c>
      <c r="F45" s="4">
        <v>0.9166666666678793</v>
      </c>
      <c r="G45" s="2" t="s">
        <v>43</v>
      </c>
      <c r="H45" s="2" t="s">
        <v>23</v>
      </c>
      <c r="I45" s="2" t="s">
        <v>24</v>
      </c>
      <c r="J45" s="2" t="s">
        <v>25</v>
      </c>
      <c r="K45" s="5">
        <v>2.0</v>
      </c>
      <c r="L45" s="5">
        <v>7.5</v>
      </c>
      <c r="M45" s="2" t="s">
        <v>144</v>
      </c>
      <c r="N45" s="2" t="s">
        <v>37</v>
      </c>
      <c r="O45" s="2" t="s">
        <v>28</v>
      </c>
      <c r="Q45" s="2" t="s">
        <v>29</v>
      </c>
      <c r="R45" s="2" t="s">
        <v>145</v>
      </c>
      <c r="S45" s="6">
        <v>45988.946122685185</v>
      </c>
    </row>
    <row r="46">
      <c r="A46" s="2" t="s">
        <v>146</v>
      </c>
      <c r="B46" s="2" t="s">
        <v>21</v>
      </c>
      <c r="C46" s="3">
        <v>45922.0</v>
      </c>
      <c r="D46" s="4">
        <v>0.5625</v>
      </c>
      <c r="E46" s="3">
        <v>45922.0</v>
      </c>
      <c r="F46" s="4">
        <v>0.9166666666678793</v>
      </c>
      <c r="G46" s="2" t="s">
        <v>147</v>
      </c>
      <c r="H46" s="2" t="s">
        <v>33</v>
      </c>
      <c r="I46" s="2" t="s">
        <v>34</v>
      </c>
      <c r="J46" s="2" t="s">
        <v>25</v>
      </c>
      <c r="K46" s="5">
        <v>2.0</v>
      </c>
      <c r="L46" s="5">
        <v>8.5</v>
      </c>
      <c r="M46" s="2" t="s">
        <v>144</v>
      </c>
      <c r="N46" s="2" t="s">
        <v>40</v>
      </c>
      <c r="O46" s="2" t="s">
        <v>28</v>
      </c>
      <c r="Q46" s="2" t="s">
        <v>29</v>
      </c>
      <c r="R46" s="2" t="s">
        <v>148</v>
      </c>
      <c r="S46" s="6">
        <v>45988.946122685185</v>
      </c>
    </row>
    <row r="47">
      <c r="A47" s="2" t="s">
        <v>149</v>
      </c>
      <c r="B47" s="2" t="s">
        <v>21</v>
      </c>
      <c r="C47" s="3">
        <v>45924.0</v>
      </c>
      <c r="D47" s="4">
        <v>0.6145833333321207</v>
      </c>
      <c r="E47" s="3">
        <v>45924.0</v>
      </c>
      <c r="F47" s="4">
        <v>0.9166666666678793</v>
      </c>
      <c r="G47" s="2" t="s">
        <v>22</v>
      </c>
      <c r="H47" s="2" t="s">
        <v>23</v>
      </c>
      <c r="I47" s="2" t="s">
        <v>24</v>
      </c>
      <c r="J47" s="2" t="s">
        <v>25</v>
      </c>
      <c r="K47" s="5">
        <v>2.0</v>
      </c>
      <c r="L47" s="5">
        <v>7.25</v>
      </c>
      <c r="M47" s="2" t="s">
        <v>144</v>
      </c>
      <c r="N47" s="2" t="s">
        <v>27</v>
      </c>
      <c r="O47" s="2" t="s">
        <v>28</v>
      </c>
      <c r="Q47" s="2" t="s">
        <v>29</v>
      </c>
      <c r="R47" s="2" t="s">
        <v>150</v>
      </c>
      <c r="S47" s="6">
        <v>45988.946122685185</v>
      </c>
    </row>
    <row r="48">
      <c r="A48" s="2" t="s">
        <v>151</v>
      </c>
      <c r="B48" s="2" t="s">
        <v>21</v>
      </c>
      <c r="C48" s="3">
        <v>45925.0</v>
      </c>
      <c r="D48" s="4">
        <v>0.6041666666678793</v>
      </c>
      <c r="E48" s="3">
        <v>45925.0</v>
      </c>
      <c r="F48" s="4">
        <v>0.9166666666678793</v>
      </c>
      <c r="G48" s="2" t="s">
        <v>43</v>
      </c>
      <c r="H48" s="2" t="s">
        <v>33</v>
      </c>
      <c r="I48" s="2" t="s">
        <v>34</v>
      </c>
      <c r="J48" s="2" t="s">
        <v>25</v>
      </c>
      <c r="K48" s="5">
        <v>2.0</v>
      </c>
      <c r="L48" s="5">
        <v>7.5</v>
      </c>
      <c r="M48" s="2" t="s">
        <v>144</v>
      </c>
      <c r="N48" s="2" t="s">
        <v>62</v>
      </c>
      <c r="O48" s="2" t="s">
        <v>28</v>
      </c>
      <c r="Q48" s="2" t="s">
        <v>29</v>
      </c>
      <c r="R48" s="2" t="s">
        <v>152</v>
      </c>
      <c r="S48" s="6">
        <v>45988.946122685185</v>
      </c>
    </row>
    <row r="49">
      <c r="A49" s="2" t="s">
        <v>153</v>
      </c>
      <c r="B49" s="2" t="s">
        <v>21</v>
      </c>
      <c r="C49" s="3">
        <v>45926.0</v>
      </c>
      <c r="D49" s="4">
        <v>0.6041666666678793</v>
      </c>
      <c r="E49" s="3">
        <v>45926.0</v>
      </c>
      <c r="F49" s="4">
        <v>0.9166666666678793</v>
      </c>
      <c r="G49" s="2" t="s">
        <v>43</v>
      </c>
      <c r="H49" s="2" t="s">
        <v>33</v>
      </c>
      <c r="I49" s="2" t="s">
        <v>34</v>
      </c>
      <c r="J49" s="2" t="s">
        <v>25</v>
      </c>
      <c r="K49" s="5">
        <v>2.0</v>
      </c>
      <c r="L49" s="5">
        <v>7.5</v>
      </c>
      <c r="M49" s="2" t="s">
        <v>144</v>
      </c>
      <c r="N49" s="2" t="s">
        <v>47</v>
      </c>
      <c r="O49" s="2" t="s">
        <v>28</v>
      </c>
      <c r="Q49" s="2" t="s">
        <v>29</v>
      </c>
      <c r="R49" s="2" t="s">
        <v>154</v>
      </c>
      <c r="S49" s="6">
        <v>45988.946122685185</v>
      </c>
    </row>
    <row r="50">
      <c r="A50" s="2" t="s">
        <v>155</v>
      </c>
      <c r="B50" s="2" t="s">
        <v>21</v>
      </c>
      <c r="C50" s="3">
        <v>45929.0</v>
      </c>
      <c r="D50" s="4">
        <v>0.6145833333321207</v>
      </c>
      <c r="E50" s="3">
        <v>45929.0</v>
      </c>
      <c r="F50" s="4">
        <v>0.9166666666678793</v>
      </c>
      <c r="G50" s="2" t="s">
        <v>22</v>
      </c>
      <c r="H50" s="2" t="s">
        <v>23</v>
      </c>
      <c r="I50" s="2" t="s">
        <v>24</v>
      </c>
      <c r="J50" s="2" t="s">
        <v>25</v>
      </c>
      <c r="K50" s="5">
        <v>2.0</v>
      </c>
      <c r="L50" s="5">
        <v>7.25</v>
      </c>
      <c r="M50" s="2" t="s">
        <v>156</v>
      </c>
      <c r="N50" s="2" t="s">
        <v>40</v>
      </c>
      <c r="O50" s="2" t="s">
        <v>28</v>
      </c>
      <c r="Q50" s="2" t="s">
        <v>29</v>
      </c>
      <c r="R50" s="2" t="s">
        <v>157</v>
      </c>
      <c r="S50" s="6">
        <v>45988.946122685185</v>
      </c>
    </row>
    <row r="51">
      <c r="A51" s="2" t="s">
        <v>158</v>
      </c>
      <c r="B51" s="2" t="s">
        <v>21</v>
      </c>
      <c r="C51" s="3">
        <v>45930.0</v>
      </c>
      <c r="D51" s="4">
        <v>0.6041666666678793</v>
      </c>
      <c r="E51" s="3">
        <v>45930.0</v>
      </c>
      <c r="F51" s="4">
        <v>0.9166666666678793</v>
      </c>
      <c r="G51" s="2" t="s">
        <v>43</v>
      </c>
      <c r="H51" s="2" t="s">
        <v>33</v>
      </c>
      <c r="I51" s="2" t="s">
        <v>34</v>
      </c>
      <c r="J51" s="2" t="s">
        <v>25</v>
      </c>
      <c r="K51" s="5">
        <v>2.0</v>
      </c>
      <c r="L51" s="5">
        <v>7.5</v>
      </c>
      <c r="M51" s="2" t="s">
        <v>156</v>
      </c>
      <c r="N51" s="2" t="s">
        <v>57</v>
      </c>
      <c r="O51" s="2" t="s">
        <v>28</v>
      </c>
      <c r="Q51" s="2" t="s">
        <v>29</v>
      </c>
      <c r="R51" s="2" t="s">
        <v>159</v>
      </c>
      <c r="S51" s="6">
        <v>45988.946122685185</v>
      </c>
    </row>
    <row r="52">
      <c r="A52" s="2" t="s">
        <v>160</v>
      </c>
      <c r="B52" s="2" t="s">
        <v>21</v>
      </c>
      <c r="C52" s="3">
        <v>45931.0</v>
      </c>
      <c r="D52" s="4">
        <v>0.2916666666678793</v>
      </c>
      <c r="E52" s="3">
        <v>45931.0</v>
      </c>
      <c r="F52" s="4">
        <v>0.625</v>
      </c>
      <c r="G52" s="2" t="s">
        <v>46</v>
      </c>
      <c r="H52" s="2" t="s">
        <v>23</v>
      </c>
      <c r="I52" s="2" t="s">
        <v>24</v>
      </c>
      <c r="J52" s="2" t="s">
        <v>35</v>
      </c>
      <c r="K52" s="5">
        <v>4.0</v>
      </c>
      <c r="L52" s="5">
        <v>8.0</v>
      </c>
      <c r="M52" s="2" t="s">
        <v>156</v>
      </c>
      <c r="N52" s="2" t="s">
        <v>27</v>
      </c>
      <c r="O52" s="2" t="s">
        <v>28</v>
      </c>
      <c r="Q52" s="2" t="s">
        <v>29</v>
      </c>
      <c r="R52" s="2" t="s">
        <v>161</v>
      </c>
      <c r="S52" s="6">
        <v>45988.946122685185</v>
      </c>
    </row>
    <row r="53">
      <c r="A53" s="2" t="s">
        <v>162</v>
      </c>
      <c r="B53" s="2" t="s">
        <v>21</v>
      </c>
      <c r="C53" s="3">
        <v>45933.0</v>
      </c>
      <c r="D53" s="4">
        <v>0.6145833333321207</v>
      </c>
      <c r="E53" s="3">
        <v>45933.0</v>
      </c>
      <c r="F53" s="4">
        <v>0.9166666666678793</v>
      </c>
      <c r="G53" s="2" t="s">
        <v>22</v>
      </c>
      <c r="H53" s="2" t="s">
        <v>23</v>
      </c>
      <c r="I53" s="2" t="s">
        <v>24</v>
      </c>
      <c r="J53" s="2" t="s">
        <v>25</v>
      </c>
      <c r="K53" s="5">
        <v>2.0</v>
      </c>
      <c r="L53" s="5">
        <v>7.25</v>
      </c>
      <c r="M53" s="2" t="s">
        <v>156</v>
      </c>
      <c r="N53" s="2" t="s">
        <v>47</v>
      </c>
      <c r="O53" s="2" t="s">
        <v>28</v>
      </c>
      <c r="Q53" s="2" t="s">
        <v>29</v>
      </c>
      <c r="R53" s="2" t="s">
        <v>163</v>
      </c>
      <c r="S53" s="6">
        <v>45988.946122685185</v>
      </c>
    </row>
    <row r="54">
      <c r="A54" s="2" t="s">
        <v>164</v>
      </c>
      <c r="B54" s="2" t="s">
        <v>21</v>
      </c>
      <c r="C54" s="3">
        <v>45941.0</v>
      </c>
      <c r="D54" s="4">
        <v>0.6041666666678793</v>
      </c>
      <c r="E54" s="3">
        <v>45941.0</v>
      </c>
      <c r="F54" s="4">
        <v>0.9166666666678793</v>
      </c>
      <c r="G54" s="2" t="s">
        <v>43</v>
      </c>
      <c r="H54" s="2" t="s">
        <v>33</v>
      </c>
      <c r="I54" s="2" t="s">
        <v>34</v>
      </c>
      <c r="J54" s="2" t="s">
        <v>25</v>
      </c>
      <c r="K54" s="5">
        <v>2.0</v>
      </c>
      <c r="L54" s="5">
        <v>7.5</v>
      </c>
      <c r="M54" s="2" t="s">
        <v>165</v>
      </c>
      <c r="N54" s="2" t="s">
        <v>50</v>
      </c>
      <c r="O54" s="2" t="s">
        <v>28</v>
      </c>
      <c r="Q54" s="2" t="s">
        <v>29</v>
      </c>
      <c r="R54" s="2" t="s">
        <v>166</v>
      </c>
      <c r="S54" s="6">
        <v>45988.946122685185</v>
      </c>
    </row>
    <row r="55">
      <c r="A55" s="2" t="s">
        <v>167</v>
      </c>
      <c r="B55" s="2" t="s">
        <v>21</v>
      </c>
      <c r="C55" s="3">
        <v>45942.0</v>
      </c>
      <c r="D55" s="4">
        <v>0.2916666666678793</v>
      </c>
      <c r="E55" s="3">
        <v>45942.0</v>
      </c>
      <c r="F55" s="4">
        <v>0.6041666666678793</v>
      </c>
      <c r="G55" s="2" t="s">
        <v>74</v>
      </c>
      <c r="H55" s="2" t="s">
        <v>23</v>
      </c>
      <c r="I55" s="2" t="s">
        <v>24</v>
      </c>
      <c r="J55" s="2" t="s">
        <v>35</v>
      </c>
      <c r="K55" s="5">
        <v>4.0</v>
      </c>
      <c r="L55" s="5">
        <v>7.5</v>
      </c>
      <c r="M55" s="2" t="s">
        <v>168</v>
      </c>
      <c r="N55" s="2" t="s">
        <v>37</v>
      </c>
      <c r="O55" s="2" t="s">
        <v>28</v>
      </c>
      <c r="Q55" s="2" t="s">
        <v>29</v>
      </c>
      <c r="R55" s="2" t="s">
        <v>169</v>
      </c>
      <c r="S55" s="6">
        <v>45988.946122685185</v>
      </c>
    </row>
    <row r="56">
      <c r="A56" s="2" t="s">
        <v>170</v>
      </c>
      <c r="B56" s="2" t="s">
        <v>21</v>
      </c>
      <c r="C56" s="3">
        <v>45943.0</v>
      </c>
      <c r="D56" s="4">
        <v>0.6041666666678793</v>
      </c>
      <c r="E56" s="3">
        <v>45943.0</v>
      </c>
      <c r="F56" s="4">
        <v>0.9166666666678793</v>
      </c>
      <c r="G56" s="2" t="s">
        <v>43</v>
      </c>
      <c r="H56" s="2" t="s">
        <v>33</v>
      </c>
      <c r="I56" s="2" t="s">
        <v>34</v>
      </c>
      <c r="J56" s="2" t="s">
        <v>25</v>
      </c>
      <c r="K56" s="5">
        <v>2.0</v>
      </c>
      <c r="L56" s="5">
        <v>7.5</v>
      </c>
      <c r="M56" s="2" t="s">
        <v>168</v>
      </c>
      <c r="N56" s="2" t="s">
        <v>40</v>
      </c>
      <c r="O56" s="2" t="s">
        <v>28</v>
      </c>
      <c r="Q56" s="2" t="s">
        <v>29</v>
      </c>
      <c r="R56" s="2" t="s">
        <v>171</v>
      </c>
      <c r="S56" s="6">
        <v>45988.946122685185</v>
      </c>
    </row>
    <row r="57">
      <c r="A57" s="2" t="s">
        <v>172</v>
      </c>
      <c r="B57" s="2" t="s">
        <v>21</v>
      </c>
      <c r="C57" s="3">
        <v>45947.0</v>
      </c>
      <c r="D57" s="4">
        <v>0.6145833333321207</v>
      </c>
      <c r="E57" s="3">
        <v>45947.0</v>
      </c>
      <c r="F57" s="4">
        <v>0.9166666666678793</v>
      </c>
      <c r="G57" s="2" t="s">
        <v>22</v>
      </c>
      <c r="H57" s="2" t="s">
        <v>23</v>
      </c>
      <c r="I57" s="2" t="s">
        <v>24</v>
      </c>
      <c r="J57" s="2" t="s">
        <v>25</v>
      </c>
      <c r="K57" s="5">
        <v>2.0</v>
      </c>
      <c r="L57" s="5">
        <v>7.25</v>
      </c>
      <c r="M57" s="2" t="s">
        <v>168</v>
      </c>
      <c r="N57" s="2" t="s">
        <v>47</v>
      </c>
      <c r="O57" s="2" t="s">
        <v>28</v>
      </c>
      <c r="Q57" s="2" t="s">
        <v>29</v>
      </c>
      <c r="R57" s="2" t="s">
        <v>173</v>
      </c>
      <c r="S57" s="6">
        <v>45988.946122685185</v>
      </c>
    </row>
    <row r="58">
      <c r="A58" s="2" t="s">
        <v>174</v>
      </c>
      <c r="B58" s="2" t="s">
        <v>21</v>
      </c>
      <c r="C58" s="3">
        <v>45952.0</v>
      </c>
      <c r="D58" s="4">
        <v>0.6041666666678793</v>
      </c>
      <c r="E58" s="3">
        <v>45952.0</v>
      </c>
      <c r="F58" s="4">
        <v>0.9166666666678793</v>
      </c>
      <c r="G58" s="2" t="s">
        <v>43</v>
      </c>
      <c r="H58" s="2" t="s">
        <v>33</v>
      </c>
      <c r="I58" s="2" t="s">
        <v>34</v>
      </c>
      <c r="J58" s="2" t="s">
        <v>25</v>
      </c>
      <c r="K58" s="5">
        <v>2.0</v>
      </c>
      <c r="L58" s="5">
        <v>7.5</v>
      </c>
      <c r="M58" s="2" t="s">
        <v>175</v>
      </c>
      <c r="N58" s="2" t="s">
        <v>27</v>
      </c>
      <c r="O58" s="2" t="s">
        <v>28</v>
      </c>
      <c r="Q58" s="2" t="s">
        <v>29</v>
      </c>
      <c r="R58" s="2" t="s">
        <v>176</v>
      </c>
      <c r="S58" s="6">
        <v>45988.946122685185</v>
      </c>
    </row>
    <row r="59">
      <c r="A59" s="2" t="s">
        <v>177</v>
      </c>
      <c r="B59" s="2" t="s">
        <v>21</v>
      </c>
      <c r="C59" s="3">
        <v>45954.0</v>
      </c>
      <c r="D59" s="4">
        <v>0.2916666666678793</v>
      </c>
      <c r="E59" s="3">
        <v>45954.0</v>
      </c>
      <c r="F59" s="4">
        <v>0.625</v>
      </c>
      <c r="G59" s="2" t="s">
        <v>46</v>
      </c>
      <c r="H59" s="2" t="s">
        <v>23</v>
      </c>
      <c r="I59" s="2" t="s">
        <v>24</v>
      </c>
      <c r="J59" s="2" t="s">
        <v>35</v>
      </c>
      <c r="K59" s="5">
        <v>4.0</v>
      </c>
      <c r="L59" s="5">
        <v>8.0</v>
      </c>
      <c r="M59" s="2" t="s">
        <v>175</v>
      </c>
      <c r="N59" s="2" t="s">
        <v>47</v>
      </c>
      <c r="O59" s="2" t="s">
        <v>28</v>
      </c>
      <c r="Q59" s="2" t="s">
        <v>29</v>
      </c>
      <c r="R59" s="2" t="s">
        <v>178</v>
      </c>
      <c r="S59" s="6">
        <v>45988.946122685185</v>
      </c>
    </row>
    <row r="60">
      <c r="A60" s="2" t="s">
        <v>179</v>
      </c>
      <c r="B60" s="2" t="s">
        <v>21</v>
      </c>
      <c r="C60" s="3">
        <v>45956.0</v>
      </c>
      <c r="D60" s="4">
        <v>0.2916666666678793</v>
      </c>
      <c r="E60" s="3">
        <v>45956.0</v>
      </c>
      <c r="F60" s="4">
        <v>0.6041666666678793</v>
      </c>
      <c r="G60" s="2" t="s">
        <v>74</v>
      </c>
      <c r="H60" s="2" t="s">
        <v>23</v>
      </c>
      <c r="I60" s="2" t="s">
        <v>24</v>
      </c>
      <c r="J60" s="2" t="s">
        <v>35</v>
      </c>
      <c r="K60" s="5">
        <v>4.0</v>
      </c>
      <c r="L60" s="5">
        <v>7.5</v>
      </c>
      <c r="M60" s="2" t="s">
        <v>180</v>
      </c>
      <c r="N60" s="2" t="s">
        <v>37</v>
      </c>
      <c r="O60" s="2" t="s">
        <v>28</v>
      </c>
      <c r="Q60" s="2" t="s">
        <v>29</v>
      </c>
      <c r="R60" s="2" t="s">
        <v>181</v>
      </c>
      <c r="S60" s="6">
        <v>45988.946122685185</v>
      </c>
    </row>
    <row r="61">
      <c r="A61" s="2" t="s">
        <v>182</v>
      </c>
      <c r="B61" s="2" t="s">
        <v>21</v>
      </c>
      <c r="C61" s="3">
        <v>45957.0</v>
      </c>
      <c r="D61" s="4">
        <v>0.3958333333321207</v>
      </c>
      <c r="E61" s="3">
        <v>45957.0</v>
      </c>
      <c r="F61" s="4">
        <v>0.6666666666678793</v>
      </c>
      <c r="G61" s="2" t="s">
        <v>183</v>
      </c>
      <c r="H61" s="2" t="s">
        <v>23</v>
      </c>
      <c r="I61" s="2" t="s">
        <v>24</v>
      </c>
      <c r="J61" s="2" t="s">
        <v>35</v>
      </c>
      <c r="K61" s="5">
        <v>4.0</v>
      </c>
      <c r="L61" s="5">
        <v>6.5</v>
      </c>
      <c r="M61" s="2" t="s">
        <v>180</v>
      </c>
      <c r="N61" s="2" t="s">
        <v>40</v>
      </c>
      <c r="O61" s="2" t="s">
        <v>28</v>
      </c>
      <c r="Q61" s="2" t="s">
        <v>29</v>
      </c>
      <c r="R61" s="2" t="s">
        <v>184</v>
      </c>
      <c r="S61" s="6">
        <v>45988.946122685185</v>
      </c>
    </row>
    <row r="62">
      <c r="A62" s="2" t="s">
        <v>185</v>
      </c>
      <c r="B62" s="2" t="s">
        <v>21</v>
      </c>
      <c r="C62" s="3">
        <v>45959.0</v>
      </c>
      <c r="D62" s="4">
        <v>0.2916666666678793</v>
      </c>
      <c r="E62" s="3">
        <v>45959.0</v>
      </c>
      <c r="F62" s="4">
        <v>0.625</v>
      </c>
      <c r="G62" s="2" t="s">
        <v>46</v>
      </c>
      <c r="H62" s="2" t="s">
        <v>23</v>
      </c>
      <c r="I62" s="2" t="s">
        <v>24</v>
      </c>
      <c r="J62" s="2" t="s">
        <v>35</v>
      </c>
      <c r="K62" s="5">
        <v>4.0</v>
      </c>
      <c r="L62" s="5">
        <v>8.0</v>
      </c>
      <c r="M62" s="2" t="s">
        <v>180</v>
      </c>
      <c r="N62" s="2" t="s">
        <v>27</v>
      </c>
      <c r="O62" s="2" t="s">
        <v>28</v>
      </c>
      <c r="Q62" s="2" t="s">
        <v>29</v>
      </c>
      <c r="R62" s="2" t="s">
        <v>186</v>
      </c>
      <c r="S62" s="6">
        <v>45988.946122685185</v>
      </c>
    </row>
    <row r="63">
      <c r="A63" s="2" t="s">
        <v>187</v>
      </c>
      <c r="B63" s="2" t="s">
        <v>21</v>
      </c>
      <c r="C63" s="3">
        <v>45961.0</v>
      </c>
      <c r="D63" s="4">
        <v>0.6041666666678793</v>
      </c>
      <c r="E63" s="3">
        <v>45961.0</v>
      </c>
      <c r="F63" s="4">
        <v>0.9166666666678793</v>
      </c>
      <c r="G63" s="2" t="s">
        <v>43</v>
      </c>
      <c r="H63" s="2" t="s">
        <v>33</v>
      </c>
      <c r="I63" s="2" t="s">
        <v>34</v>
      </c>
      <c r="J63" s="2" t="s">
        <v>25</v>
      </c>
      <c r="K63" s="5">
        <v>2.0</v>
      </c>
      <c r="L63" s="5">
        <v>7.5</v>
      </c>
      <c r="M63" s="2" t="s">
        <v>180</v>
      </c>
      <c r="N63" s="2" t="s">
        <v>47</v>
      </c>
      <c r="O63" s="2" t="s">
        <v>28</v>
      </c>
      <c r="Q63" s="2" t="s">
        <v>29</v>
      </c>
      <c r="R63" s="2" t="s">
        <v>188</v>
      </c>
      <c r="S63" s="6">
        <v>45988.946122685185</v>
      </c>
    </row>
    <row r="64">
      <c r="A64" s="2" t="s">
        <v>189</v>
      </c>
      <c r="B64" s="2" t="s">
        <v>21</v>
      </c>
      <c r="C64" s="3">
        <v>45962.0</v>
      </c>
      <c r="D64" s="4">
        <v>0.2916666666678793</v>
      </c>
      <c r="E64" s="3">
        <v>45962.0</v>
      </c>
      <c r="F64" s="4">
        <v>0.6145833333321207</v>
      </c>
      <c r="G64" s="2" t="s">
        <v>65</v>
      </c>
      <c r="H64" s="2" t="s">
        <v>33</v>
      </c>
      <c r="I64" s="2" t="s">
        <v>34</v>
      </c>
      <c r="J64" s="2" t="s">
        <v>35</v>
      </c>
      <c r="K64" s="5">
        <v>4.0</v>
      </c>
      <c r="L64" s="5">
        <v>7.75</v>
      </c>
      <c r="M64" s="2" t="s">
        <v>180</v>
      </c>
      <c r="N64" s="2" t="s">
        <v>50</v>
      </c>
      <c r="O64" s="2" t="s">
        <v>28</v>
      </c>
      <c r="Q64" s="2" t="s">
        <v>29</v>
      </c>
      <c r="R64" s="2" t="s">
        <v>190</v>
      </c>
      <c r="S64" s="6">
        <v>45988.946134259255</v>
      </c>
    </row>
    <row r="65">
      <c r="A65" s="2" t="s">
        <v>191</v>
      </c>
      <c r="B65" s="2" t="s">
        <v>21</v>
      </c>
      <c r="C65" s="3">
        <v>45967.0</v>
      </c>
      <c r="D65" s="4">
        <v>0.2916666666678793</v>
      </c>
      <c r="E65" s="3">
        <v>45967.0</v>
      </c>
      <c r="F65" s="4">
        <v>0.6145833333321207</v>
      </c>
      <c r="G65" s="2" t="s">
        <v>65</v>
      </c>
      <c r="H65" s="2" t="s">
        <v>33</v>
      </c>
      <c r="I65" s="2" t="s">
        <v>34</v>
      </c>
      <c r="J65" s="2" t="s">
        <v>35</v>
      </c>
      <c r="K65" s="5">
        <v>4.0</v>
      </c>
      <c r="L65" s="5">
        <v>7.75</v>
      </c>
      <c r="M65" s="2" t="s">
        <v>192</v>
      </c>
      <c r="N65" s="2" t="s">
        <v>62</v>
      </c>
      <c r="O65" s="2" t="s">
        <v>28</v>
      </c>
      <c r="Q65" s="2" t="s">
        <v>29</v>
      </c>
      <c r="R65" s="2" t="s">
        <v>193</v>
      </c>
      <c r="S65" s="6">
        <v>45988.946134259255</v>
      </c>
    </row>
    <row r="66">
      <c r="A66" s="2" t="s">
        <v>194</v>
      </c>
      <c r="B66" s="2" t="s">
        <v>21</v>
      </c>
      <c r="C66" s="3">
        <v>45970.0</v>
      </c>
      <c r="D66" s="4">
        <v>0.2916666666678793</v>
      </c>
      <c r="E66" s="3">
        <v>45970.0</v>
      </c>
      <c r="F66" s="4">
        <v>0.6041666666678793</v>
      </c>
      <c r="G66" s="2" t="s">
        <v>74</v>
      </c>
      <c r="H66" s="2" t="s">
        <v>23</v>
      </c>
      <c r="I66" s="2" t="s">
        <v>24</v>
      </c>
      <c r="J66" s="2" t="s">
        <v>35</v>
      </c>
      <c r="K66" s="5">
        <v>4.0</v>
      </c>
      <c r="L66" s="5">
        <v>7.5</v>
      </c>
      <c r="M66" s="2" t="s">
        <v>195</v>
      </c>
      <c r="N66" s="2" t="s">
        <v>37</v>
      </c>
      <c r="O66" s="2" t="s">
        <v>28</v>
      </c>
      <c r="Q66" s="2" t="s">
        <v>29</v>
      </c>
      <c r="R66" s="2" t="s">
        <v>196</v>
      </c>
      <c r="S66" s="6">
        <v>45988.946134259255</v>
      </c>
    </row>
    <row r="67">
      <c r="A67" s="2" t="s">
        <v>197</v>
      </c>
      <c r="B67" s="2" t="s">
        <v>21</v>
      </c>
      <c r="C67" s="3">
        <v>45972.0</v>
      </c>
      <c r="D67" s="4">
        <v>0.5104166666678793</v>
      </c>
      <c r="E67" s="3">
        <v>45972.0</v>
      </c>
      <c r="F67" s="4">
        <v>0.9166666666678793</v>
      </c>
      <c r="G67" s="2" t="s">
        <v>198</v>
      </c>
      <c r="H67" s="2" t="s">
        <v>33</v>
      </c>
      <c r="I67" s="2" t="s">
        <v>34</v>
      </c>
      <c r="J67" s="2" t="s">
        <v>21</v>
      </c>
      <c r="K67" s="5">
        <v>1.0</v>
      </c>
      <c r="L67" s="5">
        <v>9.75</v>
      </c>
      <c r="M67" s="2" t="s">
        <v>195</v>
      </c>
      <c r="N67" s="2" t="s">
        <v>57</v>
      </c>
      <c r="O67" s="2" t="s">
        <v>28</v>
      </c>
      <c r="Q67" s="2" t="s">
        <v>29</v>
      </c>
      <c r="R67" s="2" t="s">
        <v>199</v>
      </c>
      <c r="S67" s="6">
        <v>45988.946134259255</v>
      </c>
    </row>
    <row r="68">
      <c r="A68" s="2" t="s">
        <v>200</v>
      </c>
      <c r="B68" s="2" t="s">
        <v>21</v>
      </c>
      <c r="C68" s="3">
        <v>45975.0</v>
      </c>
      <c r="D68" s="4">
        <v>0.2916666666678793</v>
      </c>
      <c r="E68" s="3">
        <v>45975.0</v>
      </c>
      <c r="F68" s="4">
        <v>0.6145833333321207</v>
      </c>
      <c r="G68" s="2" t="s">
        <v>65</v>
      </c>
      <c r="H68" s="2" t="s">
        <v>33</v>
      </c>
      <c r="I68" s="2" t="s">
        <v>34</v>
      </c>
      <c r="J68" s="2" t="s">
        <v>35</v>
      </c>
      <c r="K68" s="5">
        <v>4.0</v>
      </c>
      <c r="L68" s="5">
        <v>7.75</v>
      </c>
      <c r="M68" s="2" t="s">
        <v>195</v>
      </c>
      <c r="N68" s="2" t="s">
        <v>47</v>
      </c>
      <c r="O68" s="2" t="s">
        <v>28</v>
      </c>
      <c r="Q68" s="2" t="s">
        <v>29</v>
      </c>
      <c r="R68" s="2" t="s">
        <v>201</v>
      </c>
      <c r="S68" s="6">
        <v>45988.946134259255</v>
      </c>
    </row>
    <row r="69">
      <c r="A69" s="2" t="s">
        <v>202</v>
      </c>
      <c r="B69" s="2" t="s">
        <v>21</v>
      </c>
      <c r="C69" s="3">
        <v>45981.0</v>
      </c>
      <c r="D69" s="4">
        <v>0.6145833333321207</v>
      </c>
      <c r="E69" s="3">
        <v>45981.0</v>
      </c>
      <c r="F69" s="4">
        <v>0.9166666666678793</v>
      </c>
      <c r="G69" s="2" t="s">
        <v>22</v>
      </c>
      <c r="H69" s="2" t="s">
        <v>23</v>
      </c>
      <c r="I69" s="2" t="s">
        <v>24</v>
      </c>
      <c r="J69" s="2" t="s">
        <v>25</v>
      </c>
      <c r="K69" s="5">
        <v>2.0</v>
      </c>
      <c r="L69" s="5">
        <v>7.25</v>
      </c>
      <c r="M69" s="2" t="s">
        <v>203</v>
      </c>
      <c r="N69" s="2" t="s">
        <v>62</v>
      </c>
      <c r="O69" s="2" t="s">
        <v>28</v>
      </c>
      <c r="Q69" s="2" t="s">
        <v>29</v>
      </c>
      <c r="R69" s="2" t="s">
        <v>204</v>
      </c>
      <c r="S69" s="6">
        <v>45988.946134259255</v>
      </c>
    </row>
    <row r="70">
      <c r="A70" s="2" t="s">
        <v>205</v>
      </c>
      <c r="B70" s="2" t="s">
        <v>21</v>
      </c>
      <c r="C70" s="3">
        <v>45984.0</v>
      </c>
      <c r="D70" s="4">
        <v>0.2916666666678793</v>
      </c>
      <c r="E70" s="3">
        <v>45984.0</v>
      </c>
      <c r="F70" s="4">
        <v>0.6041666666678793</v>
      </c>
      <c r="G70" s="2" t="s">
        <v>74</v>
      </c>
      <c r="H70" s="2" t="s">
        <v>23</v>
      </c>
      <c r="I70" s="2" t="s">
        <v>24</v>
      </c>
      <c r="J70" s="2" t="s">
        <v>35</v>
      </c>
      <c r="K70" s="5">
        <v>4.0</v>
      </c>
      <c r="L70" s="5">
        <v>7.5</v>
      </c>
      <c r="M70" s="2" t="s">
        <v>206</v>
      </c>
      <c r="N70" s="2" t="s">
        <v>37</v>
      </c>
      <c r="O70" s="2" t="s">
        <v>28</v>
      </c>
      <c r="Q70" s="2" t="s">
        <v>29</v>
      </c>
      <c r="R70" s="2" t="s">
        <v>207</v>
      </c>
      <c r="S70" s="6">
        <v>45988.946134259255</v>
      </c>
    </row>
    <row r="71">
      <c r="A71" s="2" t="s">
        <v>208</v>
      </c>
      <c r="B71" s="2" t="s">
        <v>21</v>
      </c>
      <c r="C71" s="3">
        <v>45985.0</v>
      </c>
      <c r="D71" s="4">
        <v>0.2916666666678793</v>
      </c>
      <c r="E71" s="3">
        <v>45985.0</v>
      </c>
      <c r="F71" s="4">
        <v>0.625</v>
      </c>
      <c r="G71" s="2" t="s">
        <v>46</v>
      </c>
      <c r="H71" s="2" t="s">
        <v>23</v>
      </c>
      <c r="I71" s="2" t="s">
        <v>24</v>
      </c>
      <c r="J71" s="2" t="s">
        <v>35</v>
      </c>
      <c r="K71" s="5">
        <v>4.0</v>
      </c>
      <c r="L71" s="5">
        <v>8.0</v>
      </c>
      <c r="M71" s="2" t="s">
        <v>206</v>
      </c>
      <c r="N71" s="2" t="s">
        <v>40</v>
      </c>
      <c r="O71" s="2" t="s">
        <v>28</v>
      </c>
      <c r="Q71" s="2" t="s">
        <v>29</v>
      </c>
      <c r="R71" s="2" t="s">
        <v>209</v>
      </c>
      <c r="S71" s="6">
        <v>45988.946134259255</v>
      </c>
    </row>
    <row r="72">
      <c r="A72" s="2" t="s">
        <v>210</v>
      </c>
      <c r="B72" s="2" t="s">
        <v>21</v>
      </c>
      <c r="C72" s="3">
        <v>45987.0</v>
      </c>
      <c r="D72" s="4">
        <v>0.6041666666678793</v>
      </c>
      <c r="E72" s="3">
        <v>45987.0</v>
      </c>
      <c r="F72" s="4">
        <v>0.9166666666678793</v>
      </c>
      <c r="G72" s="2" t="s">
        <v>43</v>
      </c>
      <c r="H72" s="2" t="s">
        <v>33</v>
      </c>
      <c r="I72" s="2" t="s">
        <v>34</v>
      </c>
      <c r="J72" s="2" t="s">
        <v>25</v>
      </c>
      <c r="K72" s="5">
        <v>2.0</v>
      </c>
      <c r="L72" s="5">
        <v>7.5</v>
      </c>
      <c r="M72" s="2" t="s">
        <v>206</v>
      </c>
      <c r="N72" s="2" t="s">
        <v>27</v>
      </c>
      <c r="O72" s="2" t="s">
        <v>28</v>
      </c>
      <c r="Q72" s="2" t="s">
        <v>29</v>
      </c>
      <c r="R72" s="2" t="s">
        <v>211</v>
      </c>
      <c r="S72" s="6">
        <v>45988.946134259255</v>
      </c>
    </row>
    <row r="73">
      <c r="A73" s="2" t="s">
        <v>212</v>
      </c>
      <c r="B73" s="2" t="s">
        <v>21</v>
      </c>
      <c r="C73" s="7">
        <v>45995.0</v>
      </c>
      <c r="D73" s="7">
        <v>0.6041666666678793</v>
      </c>
      <c r="E73" s="7">
        <v>45995.0</v>
      </c>
      <c r="F73" s="7">
        <v>0.9166666666678793</v>
      </c>
      <c r="G73" s="2" t="s">
        <v>43</v>
      </c>
      <c r="H73" s="2" t="s">
        <v>33</v>
      </c>
      <c r="I73" s="2" t="s">
        <v>34</v>
      </c>
      <c r="J73" s="2" t="s">
        <v>25</v>
      </c>
      <c r="K73" s="5">
        <v>2.0</v>
      </c>
      <c r="L73" s="5">
        <v>7.5</v>
      </c>
      <c r="M73" s="2" t="s">
        <v>213</v>
      </c>
      <c r="N73" s="2" t="s">
        <v>62</v>
      </c>
      <c r="O73" s="2" t="s">
        <v>28</v>
      </c>
      <c r="Q73" s="2" t="s">
        <v>29</v>
      </c>
      <c r="R73" s="2" t="s">
        <v>214</v>
      </c>
      <c r="S73" s="7">
        <v>45988.944756944446</v>
      </c>
    </row>
    <row r="74">
      <c r="A74" s="2" t="s">
        <v>215</v>
      </c>
      <c r="B74" s="2" t="s">
        <v>21</v>
      </c>
      <c r="C74" s="7">
        <v>45998.0</v>
      </c>
      <c r="D74" s="7">
        <v>0.2916666666678793</v>
      </c>
      <c r="E74" s="7">
        <v>45998.0</v>
      </c>
      <c r="F74" s="7">
        <v>0.6041666666678793</v>
      </c>
      <c r="G74" s="2" t="s">
        <v>74</v>
      </c>
      <c r="H74" s="2" t="s">
        <v>23</v>
      </c>
      <c r="I74" s="2" t="s">
        <v>24</v>
      </c>
      <c r="J74" s="2" t="s">
        <v>35</v>
      </c>
      <c r="K74" s="5">
        <v>4.0</v>
      </c>
      <c r="L74" s="5">
        <v>7.5</v>
      </c>
      <c r="M74" s="2" t="s">
        <v>216</v>
      </c>
      <c r="N74" s="2" t="s">
        <v>37</v>
      </c>
      <c r="O74" s="2" t="s">
        <v>28</v>
      </c>
      <c r="Q74" s="2" t="s">
        <v>29</v>
      </c>
      <c r="R74" s="2" t="s">
        <v>217</v>
      </c>
      <c r="S74" s="7">
        <v>45988.944756944446</v>
      </c>
    </row>
    <row r="75">
      <c r="A75" s="2" t="s">
        <v>218</v>
      </c>
      <c r="B75" s="2" t="s">
        <v>21</v>
      </c>
      <c r="C75" s="7">
        <v>45999.0</v>
      </c>
      <c r="D75" s="7">
        <v>0.2916666666678793</v>
      </c>
      <c r="E75" s="7">
        <v>45999.0</v>
      </c>
      <c r="F75" s="7">
        <v>0.6145833333321207</v>
      </c>
      <c r="G75" s="2" t="s">
        <v>65</v>
      </c>
      <c r="H75" s="2" t="s">
        <v>33</v>
      </c>
      <c r="I75" s="2" t="s">
        <v>34</v>
      </c>
      <c r="J75" s="2" t="s">
        <v>35</v>
      </c>
      <c r="K75" s="5">
        <v>4.0</v>
      </c>
      <c r="L75" s="5">
        <v>7.75</v>
      </c>
      <c r="M75" s="2" t="s">
        <v>216</v>
      </c>
      <c r="N75" s="2" t="s">
        <v>40</v>
      </c>
      <c r="O75" s="2" t="s">
        <v>28</v>
      </c>
      <c r="Q75" s="2" t="s">
        <v>29</v>
      </c>
      <c r="R75" s="2" t="s">
        <v>219</v>
      </c>
      <c r="S75" s="7">
        <v>45988.944756944446</v>
      </c>
    </row>
    <row r="76">
      <c r="A76" s="2" t="s">
        <v>220</v>
      </c>
      <c r="B76" s="2" t="s">
        <v>21</v>
      </c>
      <c r="C76" s="7">
        <v>46004.0</v>
      </c>
      <c r="D76" s="4">
        <v>0.6041666666678793</v>
      </c>
      <c r="E76" s="7">
        <v>46004.0</v>
      </c>
      <c r="F76" s="4">
        <v>0.9166666666678793</v>
      </c>
      <c r="G76" s="2" t="s">
        <v>43</v>
      </c>
      <c r="H76" s="2" t="s">
        <v>23</v>
      </c>
      <c r="I76" s="2" t="s">
        <v>24</v>
      </c>
      <c r="J76" s="2" t="s">
        <v>25</v>
      </c>
      <c r="K76" s="5">
        <v>2.0</v>
      </c>
      <c r="L76" s="5">
        <v>7.5</v>
      </c>
      <c r="M76" s="2" t="s">
        <v>216</v>
      </c>
      <c r="N76" s="2" t="s">
        <v>50</v>
      </c>
      <c r="O76" s="2" t="s">
        <v>28</v>
      </c>
      <c r="Q76" s="2" t="s">
        <v>29</v>
      </c>
      <c r="R76" s="2" t="s">
        <v>221</v>
      </c>
      <c r="S76" s="2">
        <v>9.824860804E9</v>
      </c>
      <c r="T76" s="6">
        <v>46004.87663194444</v>
      </c>
    </row>
    <row r="77">
      <c r="A77" s="2" t="s">
        <v>222</v>
      </c>
      <c r="B77" s="2" t="s">
        <v>21</v>
      </c>
      <c r="C77" s="7">
        <v>46007.0</v>
      </c>
      <c r="D77" s="4">
        <v>0.2916666666678793</v>
      </c>
      <c r="E77" s="7">
        <v>46007.0</v>
      </c>
      <c r="F77" s="4">
        <v>0.6145833333321207</v>
      </c>
      <c r="G77" s="2" t="s">
        <v>65</v>
      </c>
      <c r="H77" s="2" t="s">
        <v>33</v>
      </c>
      <c r="I77" s="2" t="s">
        <v>34</v>
      </c>
      <c r="J77" s="2" t="s">
        <v>35</v>
      </c>
      <c r="K77" s="5">
        <v>4.0</v>
      </c>
      <c r="L77" s="5">
        <v>7.75</v>
      </c>
      <c r="M77" s="2" t="s">
        <v>223</v>
      </c>
      <c r="N77" s="2" t="s">
        <v>57</v>
      </c>
      <c r="O77" s="2" t="s">
        <v>28</v>
      </c>
      <c r="Q77" s="2" t="s">
        <v>29</v>
      </c>
      <c r="R77" s="2" t="s">
        <v>224</v>
      </c>
      <c r="S77" s="2">
        <v>9.831730708E9</v>
      </c>
      <c r="T77" s="6">
        <v>46007.58498842592</v>
      </c>
    </row>
    <row r="78">
      <c r="A78" s="2" t="s">
        <v>225</v>
      </c>
      <c r="B78" s="2" t="s">
        <v>21</v>
      </c>
      <c r="C78" s="7">
        <v>46007.0</v>
      </c>
      <c r="D78" s="4">
        <v>0.625</v>
      </c>
      <c r="E78" s="7">
        <v>46007.0</v>
      </c>
      <c r="F78" s="4">
        <v>0.6666666666678793</v>
      </c>
      <c r="G78" s="2" t="s">
        <v>226</v>
      </c>
      <c r="H78" s="2" t="s">
        <v>33</v>
      </c>
      <c r="I78" s="2" t="s">
        <v>34</v>
      </c>
      <c r="J78" s="2" t="s">
        <v>25</v>
      </c>
      <c r="K78" s="5">
        <v>2.0</v>
      </c>
      <c r="L78" s="5">
        <v>1.0</v>
      </c>
      <c r="M78" s="2" t="s">
        <v>223</v>
      </c>
      <c r="N78" s="2" t="s">
        <v>57</v>
      </c>
      <c r="O78" s="2" t="s">
        <v>28</v>
      </c>
      <c r="Q78" s="2" t="s">
        <v>29</v>
      </c>
      <c r="R78" s="2" t="s">
        <v>227</v>
      </c>
      <c r="S78" s="2">
        <v>9.83173073E9</v>
      </c>
      <c r="T78" s="6">
        <v>46007.626655092594</v>
      </c>
    </row>
    <row r="79">
      <c r="A79" s="2" t="s">
        <v>228</v>
      </c>
      <c r="B79" s="2" t="s">
        <v>21</v>
      </c>
      <c r="C79" s="7">
        <v>46007.0</v>
      </c>
      <c r="D79" s="4">
        <v>0.6666666666678793</v>
      </c>
      <c r="E79" s="7">
        <v>46007.0</v>
      </c>
      <c r="F79" s="4">
        <v>0.7083333333321207</v>
      </c>
      <c r="G79" s="2" t="s">
        <v>229</v>
      </c>
      <c r="H79" s="2" t="s">
        <v>33</v>
      </c>
      <c r="I79" s="2" t="s">
        <v>34</v>
      </c>
      <c r="J79" s="2" t="s">
        <v>25</v>
      </c>
      <c r="K79" s="5">
        <v>2.0</v>
      </c>
      <c r="L79" s="5">
        <v>1.0</v>
      </c>
      <c r="M79" s="2" t="s">
        <v>223</v>
      </c>
      <c r="N79" s="2" t="s">
        <v>57</v>
      </c>
      <c r="O79" s="2" t="s">
        <v>28</v>
      </c>
      <c r="Q79" s="2" t="s">
        <v>29</v>
      </c>
      <c r="R79" s="2" t="s">
        <v>230</v>
      </c>
      <c r="S79" s="2">
        <v>9.831730753E9</v>
      </c>
      <c r="T79" s="6">
        <v>46007.66831018518</v>
      </c>
    </row>
    <row r="80">
      <c r="A80" s="2" t="s">
        <v>231</v>
      </c>
      <c r="B80" s="2" t="s">
        <v>21</v>
      </c>
      <c r="C80" s="7">
        <v>46009.0</v>
      </c>
      <c r="D80" s="4">
        <v>0.6145833333321207</v>
      </c>
      <c r="E80" s="7">
        <v>46009.0</v>
      </c>
      <c r="F80" s="4">
        <v>0.9166666666678793</v>
      </c>
      <c r="G80" s="2" t="s">
        <v>22</v>
      </c>
      <c r="H80" s="2" t="s">
        <v>23</v>
      </c>
      <c r="I80" s="2" t="s">
        <v>24</v>
      </c>
      <c r="J80" s="2" t="s">
        <v>25</v>
      </c>
      <c r="K80" s="5">
        <v>2.0</v>
      </c>
      <c r="L80" s="5">
        <v>7.25</v>
      </c>
      <c r="M80" s="2" t="s">
        <v>223</v>
      </c>
      <c r="N80" s="2" t="s">
        <v>62</v>
      </c>
      <c r="O80" s="2" t="s">
        <v>28</v>
      </c>
      <c r="Q80" s="2" t="s">
        <v>29</v>
      </c>
      <c r="R80" s="2" t="s">
        <v>232</v>
      </c>
      <c r="S80" s="2">
        <v>9.841638347E9</v>
      </c>
      <c r="T80" s="6">
        <v>46009.87668981482</v>
      </c>
    </row>
    <row r="81">
      <c r="A81" s="2" t="s">
        <v>233</v>
      </c>
      <c r="B81" s="2" t="s">
        <v>21</v>
      </c>
      <c r="C81" s="7">
        <v>46012.0</v>
      </c>
      <c r="D81" s="4">
        <v>0.2916666666678793</v>
      </c>
      <c r="E81" s="7">
        <v>46012.0</v>
      </c>
      <c r="F81" s="4">
        <v>0.6041666666678793</v>
      </c>
      <c r="G81" s="2" t="s">
        <v>74</v>
      </c>
      <c r="H81" s="2" t="s">
        <v>23</v>
      </c>
      <c r="I81" s="2" t="s">
        <v>24</v>
      </c>
      <c r="J81" s="2" t="s">
        <v>35</v>
      </c>
      <c r="K81" s="5">
        <v>4.0</v>
      </c>
      <c r="L81" s="5">
        <v>7.5</v>
      </c>
      <c r="M81" s="2" t="s">
        <v>234</v>
      </c>
      <c r="N81" s="2" t="s">
        <v>37</v>
      </c>
      <c r="O81" s="2" t="s">
        <v>28</v>
      </c>
      <c r="Q81" s="2" t="s">
        <v>29</v>
      </c>
      <c r="R81" s="2" t="s">
        <v>235</v>
      </c>
      <c r="S81" s="2">
        <v>9.831730803E9</v>
      </c>
      <c r="T81" s="6">
        <v>46012.58565972222</v>
      </c>
    </row>
    <row r="82">
      <c r="A82" s="2" t="s">
        <v>236</v>
      </c>
      <c r="B82" s="2" t="s">
        <v>21</v>
      </c>
      <c r="C82" s="7">
        <v>46014.0</v>
      </c>
      <c r="D82" s="4">
        <v>0.2916666666678793</v>
      </c>
      <c r="E82" s="7">
        <v>46014.0</v>
      </c>
      <c r="F82" s="4">
        <v>0.6145833333321207</v>
      </c>
      <c r="G82" s="2" t="s">
        <v>65</v>
      </c>
      <c r="H82" s="2" t="s">
        <v>33</v>
      </c>
      <c r="I82" s="2" t="s">
        <v>34</v>
      </c>
      <c r="J82" s="2" t="s">
        <v>35</v>
      </c>
      <c r="K82" s="5">
        <v>4.0</v>
      </c>
      <c r="L82" s="5">
        <v>7.75</v>
      </c>
      <c r="M82" s="2" t="s">
        <v>234</v>
      </c>
      <c r="N82" s="2" t="s">
        <v>57</v>
      </c>
      <c r="O82" s="2" t="s">
        <v>28</v>
      </c>
      <c r="Q82" s="2" t="s">
        <v>29</v>
      </c>
      <c r="R82" s="2" t="s">
        <v>237</v>
      </c>
      <c r="S82" s="2">
        <v>9.831730841E9</v>
      </c>
      <c r="T82" s="6">
        <v>46014.585</v>
      </c>
    </row>
    <row r="83">
      <c r="A83" s="2" t="s">
        <v>238</v>
      </c>
      <c r="B83" s="2" t="s">
        <v>21</v>
      </c>
      <c r="C83" s="7">
        <v>46015.0</v>
      </c>
      <c r="D83" s="4">
        <v>0.2916666666678793</v>
      </c>
      <c r="E83" s="7">
        <v>46015.0</v>
      </c>
      <c r="F83" s="4">
        <v>0.625</v>
      </c>
      <c r="G83" s="2" t="s">
        <v>46</v>
      </c>
      <c r="H83" s="2" t="s">
        <v>23</v>
      </c>
      <c r="I83" s="2" t="s">
        <v>24</v>
      </c>
      <c r="J83" s="2" t="s">
        <v>35</v>
      </c>
      <c r="K83" s="5">
        <v>4.0</v>
      </c>
      <c r="L83" s="5">
        <v>8.0</v>
      </c>
      <c r="M83" s="2" t="s">
        <v>234</v>
      </c>
      <c r="N83" s="2" t="s">
        <v>27</v>
      </c>
      <c r="O83" s="2" t="s">
        <v>28</v>
      </c>
      <c r="Q83" s="2" t="s">
        <v>29</v>
      </c>
      <c r="R83" s="2" t="s">
        <v>239</v>
      </c>
      <c r="S83" s="2">
        <v>9.831730914E9</v>
      </c>
      <c r="T83" s="6">
        <v>46015.58497685185</v>
      </c>
    </row>
    <row r="84">
      <c r="A84" s="2" t="s">
        <v>240</v>
      </c>
      <c r="B84" s="2" t="s">
        <v>21</v>
      </c>
      <c r="C84" s="7">
        <v>46020.0</v>
      </c>
      <c r="D84" s="4">
        <v>0.2916666666678793</v>
      </c>
      <c r="E84" s="7">
        <v>46020.0</v>
      </c>
      <c r="F84" s="4">
        <v>0.6145833333321207</v>
      </c>
      <c r="G84" s="2" t="s">
        <v>65</v>
      </c>
      <c r="H84" s="2" t="s">
        <v>33</v>
      </c>
      <c r="I84" s="2" t="s">
        <v>34</v>
      </c>
      <c r="J84" s="2" t="s">
        <v>35</v>
      </c>
      <c r="K84" s="5">
        <v>4.0</v>
      </c>
      <c r="L84" s="5">
        <v>7.75</v>
      </c>
      <c r="M84" s="7">
        <v>45658.0</v>
      </c>
      <c r="N84" s="2" t="s">
        <v>40</v>
      </c>
      <c r="O84" s="2" t="s">
        <v>28</v>
      </c>
      <c r="Q84" s="2" t="s">
        <v>29</v>
      </c>
      <c r="R84" s="2" t="s">
        <v>241</v>
      </c>
      <c r="S84" s="2">
        <v>9.83173096E9</v>
      </c>
      <c r="T84" s="6">
        <v>46020.585</v>
      </c>
    </row>
    <row r="85">
      <c r="A85" s="2" t="s">
        <v>242</v>
      </c>
      <c r="B85" s="2" t="s">
        <v>21</v>
      </c>
      <c r="C85" s="7">
        <v>46021.0</v>
      </c>
      <c r="D85" s="4">
        <v>0.5416666666678793</v>
      </c>
      <c r="E85" s="7">
        <v>46021.0</v>
      </c>
      <c r="F85" s="4">
        <v>0.9166666666678793</v>
      </c>
      <c r="G85" s="2" t="s">
        <v>243</v>
      </c>
      <c r="H85" s="2" t="s">
        <v>33</v>
      </c>
      <c r="I85" s="2" t="s">
        <v>34</v>
      </c>
      <c r="J85" s="2" t="s">
        <v>25</v>
      </c>
      <c r="K85" s="5">
        <v>2.0</v>
      </c>
      <c r="L85" s="5">
        <v>9.0</v>
      </c>
      <c r="M85" s="7">
        <v>45658.0</v>
      </c>
      <c r="N85" s="2" t="s">
        <v>57</v>
      </c>
      <c r="O85" s="2" t="s">
        <v>28</v>
      </c>
      <c r="Q85" s="2" t="s">
        <v>29</v>
      </c>
      <c r="R85" s="2" t="s">
        <v>244</v>
      </c>
      <c r="S85" s="2">
        <v>9.833581404E9</v>
      </c>
      <c r="T85" s="6">
        <v>46021.87666666666</v>
      </c>
    </row>
    <row r="86">
      <c r="A86" s="2" t="s">
        <v>245</v>
      </c>
      <c r="B86" s="2" t="s">
        <v>21</v>
      </c>
      <c r="C86" s="7">
        <v>46023.0</v>
      </c>
      <c r="D86" s="4">
        <v>0.2916666666678793</v>
      </c>
      <c r="E86" s="7">
        <v>46023.0</v>
      </c>
      <c r="F86" s="4">
        <v>0.625</v>
      </c>
      <c r="G86" s="2" t="s">
        <v>46</v>
      </c>
      <c r="H86" s="2" t="s">
        <v>23</v>
      </c>
      <c r="I86" s="2" t="s">
        <v>24</v>
      </c>
      <c r="J86" s="2" t="s">
        <v>35</v>
      </c>
      <c r="K86" s="5">
        <v>4.0</v>
      </c>
      <c r="L86" s="5">
        <v>8.0</v>
      </c>
      <c r="M86" s="7">
        <v>46023.0</v>
      </c>
      <c r="N86" s="2" t="s">
        <v>62</v>
      </c>
      <c r="O86" s="2" t="s">
        <v>246</v>
      </c>
      <c r="P86" s="8"/>
      <c r="Q86" s="2" t="s">
        <v>29</v>
      </c>
      <c r="R86" s="2" t="s">
        <v>247</v>
      </c>
      <c r="S86" s="2">
        <v>9.831731006E9</v>
      </c>
      <c r="T86" s="6">
        <v>46016.83497685185</v>
      </c>
      <c r="U86" s="8"/>
      <c r="V86" s="8"/>
      <c r="W86" s="8"/>
      <c r="X86" s="8"/>
      <c r="Y86" s="8"/>
      <c r="Z86" s="8"/>
    </row>
    <row r="87">
      <c r="A87" s="2" t="s">
        <v>248</v>
      </c>
      <c r="B87" s="2" t="s">
        <v>21</v>
      </c>
      <c r="C87" s="7">
        <v>46023.0</v>
      </c>
      <c r="D87" s="4">
        <v>0.2916666666678793</v>
      </c>
      <c r="E87" s="7">
        <v>46023.0</v>
      </c>
      <c r="F87" s="4">
        <v>0.6041666666678793</v>
      </c>
      <c r="G87" s="2" t="s">
        <v>74</v>
      </c>
      <c r="H87" s="2" t="s">
        <v>23</v>
      </c>
      <c r="I87" s="2" t="s">
        <v>24</v>
      </c>
      <c r="J87" s="2" t="s">
        <v>35</v>
      </c>
      <c r="K87" s="5">
        <v>4.0</v>
      </c>
      <c r="L87" s="5">
        <v>7.5</v>
      </c>
      <c r="M87" s="7">
        <v>46023.0</v>
      </c>
      <c r="N87" s="2" t="s">
        <v>62</v>
      </c>
      <c r="O87" s="2" t="s">
        <v>28</v>
      </c>
      <c r="Q87" s="2" t="s">
        <v>29</v>
      </c>
      <c r="R87" s="2" t="s">
        <v>249</v>
      </c>
      <c r="S87" s="2">
        <v>9.858641163E9</v>
      </c>
      <c r="T87" s="6">
        <v>46023.585</v>
      </c>
    </row>
    <row r="88">
      <c r="A88" s="2" t="s">
        <v>250</v>
      </c>
      <c r="B88" s="2" t="s">
        <v>21</v>
      </c>
      <c r="C88" s="7">
        <v>46024.0</v>
      </c>
      <c r="D88" s="4">
        <v>0.6041666666678793</v>
      </c>
      <c r="E88" s="7">
        <v>46024.0</v>
      </c>
      <c r="F88" s="4">
        <v>0.9166666666678793</v>
      </c>
      <c r="G88" s="2" t="s">
        <v>43</v>
      </c>
      <c r="H88" s="2" t="s">
        <v>33</v>
      </c>
      <c r="I88" s="2" t="s">
        <v>34</v>
      </c>
      <c r="J88" s="2" t="s">
        <v>25</v>
      </c>
      <c r="K88" s="5">
        <v>2.0</v>
      </c>
      <c r="L88" s="5">
        <v>7.5</v>
      </c>
      <c r="M88" s="7">
        <v>46023.0</v>
      </c>
      <c r="N88" s="2" t="s">
        <v>47</v>
      </c>
      <c r="O88" s="2" t="s">
        <v>28</v>
      </c>
      <c r="Q88" s="2" t="s">
        <v>29</v>
      </c>
      <c r="R88" s="2" t="s">
        <v>251</v>
      </c>
      <c r="S88" s="2">
        <v>9.831731032E9</v>
      </c>
      <c r="T88" s="6">
        <v>46024.876655092594</v>
      </c>
    </row>
    <row r="89">
      <c r="A89" s="2" t="s">
        <v>252</v>
      </c>
      <c r="B89" s="2" t="s">
        <v>21</v>
      </c>
      <c r="C89" s="7">
        <v>46028.0</v>
      </c>
      <c r="D89" s="4">
        <v>0.6041666666678793</v>
      </c>
      <c r="E89" s="7">
        <v>46028.0</v>
      </c>
      <c r="F89" s="4">
        <v>0.9166666666678793</v>
      </c>
      <c r="G89" s="2" t="s">
        <v>43</v>
      </c>
      <c r="H89" s="2" t="s">
        <v>33</v>
      </c>
      <c r="I89" s="2" t="s">
        <v>34</v>
      </c>
      <c r="J89" s="2" t="s">
        <v>25</v>
      </c>
      <c r="K89" s="5">
        <v>2.0</v>
      </c>
      <c r="L89" s="5">
        <v>7.5</v>
      </c>
      <c r="M89" s="7">
        <v>46054.0</v>
      </c>
      <c r="N89" s="2" t="s">
        <v>57</v>
      </c>
      <c r="O89" s="2" t="s">
        <v>28</v>
      </c>
      <c r="Q89" s="2" t="s">
        <v>29</v>
      </c>
      <c r="R89" s="2" t="s">
        <v>253</v>
      </c>
      <c r="S89" s="2">
        <v>9.831731061E9</v>
      </c>
      <c r="T89" s="6">
        <v>46028.87664351852</v>
      </c>
    </row>
    <row r="90">
      <c r="A90" s="2" t="s">
        <v>254</v>
      </c>
      <c r="B90" s="2" t="s">
        <v>21</v>
      </c>
      <c r="C90" s="7">
        <v>46029.0</v>
      </c>
      <c r="D90" s="4">
        <v>0.6145833333321207</v>
      </c>
      <c r="E90" s="7">
        <v>46029.0</v>
      </c>
      <c r="F90" s="4">
        <v>0.9166666666678793</v>
      </c>
      <c r="G90" s="2" t="s">
        <v>22</v>
      </c>
      <c r="H90" s="2" t="s">
        <v>23</v>
      </c>
      <c r="I90" s="2" t="s">
        <v>24</v>
      </c>
      <c r="J90" s="2" t="s">
        <v>25</v>
      </c>
      <c r="K90" s="5">
        <v>2.0</v>
      </c>
      <c r="L90" s="5">
        <v>7.25</v>
      </c>
      <c r="M90" s="7">
        <v>46054.0</v>
      </c>
      <c r="N90" s="2" t="s">
        <v>27</v>
      </c>
      <c r="O90" s="2" t="s">
        <v>246</v>
      </c>
      <c r="P90" s="8"/>
      <c r="Q90" s="2" t="s">
        <v>29</v>
      </c>
      <c r="R90" s="2" t="s">
        <v>255</v>
      </c>
      <c r="S90" s="7">
        <v>45988.944756944446</v>
      </c>
      <c r="T90" s="6"/>
      <c r="U90" s="8"/>
      <c r="V90" s="8"/>
      <c r="W90" s="8"/>
      <c r="X90" s="8"/>
      <c r="Y90" s="8"/>
      <c r="Z90" s="8"/>
    </row>
    <row r="91">
      <c r="A91" s="2" t="s">
        <v>256</v>
      </c>
      <c r="B91" s="2" t="s">
        <v>21</v>
      </c>
      <c r="C91" s="7">
        <v>46032.0</v>
      </c>
      <c r="D91" s="4">
        <v>0.2916666666678793</v>
      </c>
      <c r="E91" s="7">
        <v>46032.0</v>
      </c>
      <c r="F91" s="4">
        <v>0.6041666666678793</v>
      </c>
      <c r="G91" s="2" t="s">
        <v>74</v>
      </c>
      <c r="H91" s="2" t="s">
        <v>23</v>
      </c>
      <c r="I91" s="2" t="s">
        <v>24</v>
      </c>
      <c r="J91" s="2" t="s">
        <v>35</v>
      </c>
      <c r="K91" s="5">
        <v>4.0</v>
      </c>
      <c r="L91" s="5">
        <v>7.5</v>
      </c>
      <c r="M91" s="7">
        <v>46054.0</v>
      </c>
      <c r="N91" s="2" t="s">
        <v>50</v>
      </c>
      <c r="O91" s="2" t="s">
        <v>28</v>
      </c>
      <c r="Q91" s="2" t="s">
        <v>29</v>
      </c>
      <c r="R91" s="2" t="s">
        <v>257</v>
      </c>
      <c r="S91" s="2">
        <v>9.831731098E9</v>
      </c>
      <c r="T91" s="6">
        <v>46032.58498842592</v>
      </c>
    </row>
    <row r="92">
      <c r="A92" s="2" t="s">
        <v>258</v>
      </c>
      <c r="B92" s="2" t="s">
        <v>21</v>
      </c>
      <c r="C92" s="7">
        <v>46035.0</v>
      </c>
      <c r="D92" s="4">
        <v>0.625</v>
      </c>
      <c r="E92" s="7">
        <v>46035.0</v>
      </c>
      <c r="F92" s="4">
        <v>0.6666666666678793</v>
      </c>
      <c r="G92" s="2" t="s">
        <v>226</v>
      </c>
      <c r="H92" s="2" t="s">
        <v>33</v>
      </c>
      <c r="I92" s="2" t="s">
        <v>34</v>
      </c>
      <c r="J92" s="2" t="s">
        <v>25</v>
      </c>
      <c r="K92" s="5">
        <v>2.0</v>
      </c>
      <c r="L92" s="5">
        <v>1.0</v>
      </c>
      <c r="M92" s="7">
        <v>46082.0</v>
      </c>
      <c r="N92" s="2" t="s">
        <v>57</v>
      </c>
      <c r="O92" s="2" t="s">
        <v>28</v>
      </c>
      <c r="Q92" s="2" t="s">
        <v>29</v>
      </c>
      <c r="R92" s="2" t="s">
        <v>259</v>
      </c>
      <c r="S92" s="2">
        <v>9.850791823E9</v>
      </c>
      <c r="T92" s="6">
        <v>46035.62666666666</v>
      </c>
    </row>
    <row r="93">
      <c r="A93" s="2" t="s">
        <v>260</v>
      </c>
      <c r="B93" s="2" t="s">
        <v>21</v>
      </c>
      <c r="C93" s="7">
        <v>46037.0</v>
      </c>
      <c r="D93" s="4">
        <v>0.6145833333321207</v>
      </c>
      <c r="E93" s="7">
        <v>46037.0</v>
      </c>
      <c r="F93" s="4">
        <v>0.9166666666678793</v>
      </c>
      <c r="G93" s="2" t="s">
        <v>22</v>
      </c>
      <c r="H93" s="2" t="s">
        <v>23</v>
      </c>
      <c r="I93" s="2" t="s">
        <v>24</v>
      </c>
      <c r="J93" s="2" t="s">
        <v>25</v>
      </c>
      <c r="K93" s="5">
        <v>2.0</v>
      </c>
      <c r="L93" s="5">
        <v>7.25</v>
      </c>
      <c r="M93" s="7">
        <v>46082.0</v>
      </c>
      <c r="N93" s="2" t="s">
        <v>62</v>
      </c>
      <c r="O93" s="2" t="s">
        <v>246</v>
      </c>
      <c r="P93" s="8"/>
      <c r="Q93" s="2" t="s">
        <v>29</v>
      </c>
      <c r="R93" s="2" t="s">
        <v>261</v>
      </c>
      <c r="S93" s="7">
        <v>45988.944756944446</v>
      </c>
      <c r="T93" s="6"/>
      <c r="U93" s="8"/>
      <c r="V93" s="8"/>
      <c r="W93" s="8"/>
      <c r="X93" s="8"/>
      <c r="Y93" s="8"/>
      <c r="Z93" s="8"/>
    </row>
    <row r="94">
      <c r="A94" s="2" t="s">
        <v>262</v>
      </c>
      <c r="B94" s="2" t="s">
        <v>21</v>
      </c>
      <c r="C94" s="7">
        <v>46038.0</v>
      </c>
      <c r="D94" s="4">
        <v>0.6041666666678793</v>
      </c>
      <c r="E94" s="7">
        <v>46038.0</v>
      </c>
      <c r="F94" s="4">
        <v>0.9166666666678793</v>
      </c>
      <c r="G94" s="2" t="s">
        <v>43</v>
      </c>
      <c r="H94" s="2" t="s">
        <v>33</v>
      </c>
      <c r="I94" s="2" t="s">
        <v>34</v>
      </c>
      <c r="J94" s="2" t="s">
        <v>25</v>
      </c>
      <c r="K94" s="5">
        <v>2.0</v>
      </c>
      <c r="L94" s="5">
        <v>7.5</v>
      </c>
      <c r="M94" s="7">
        <v>46082.0</v>
      </c>
      <c r="N94" s="2" t="s">
        <v>47</v>
      </c>
      <c r="O94" s="2" t="s">
        <v>28</v>
      </c>
      <c r="Q94" s="2" t="s">
        <v>29</v>
      </c>
      <c r="R94" s="2" t="s">
        <v>263</v>
      </c>
      <c r="S94" s="2">
        <v>9.831731123E9</v>
      </c>
      <c r="T94" s="6">
        <v>46038.876655092594</v>
      </c>
    </row>
    <row r="95">
      <c r="A95" s="2" t="s">
        <v>264</v>
      </c>
      <c r="B95" s="2" t="s">
        <v>21</v>
      </c>
      <c r="C95" s="7">
        <v>46040.0</v>
      </c>
      <c r="D95" s="4">
        <v>0.2916666666678793</v>
      </c>
      <c r="E95" s="7">
        <v>46040.0</v>
      </c>
      <c r="F95" s="4">
        <v>0.6041666666678793</v>
      </c>
      <c r="G95" s="2" t="s">
        <v>74</v>
      </c>
      <c r="H95" s="2" t="s">
        <v>23</v>
      </c>
      <c r="I95" s="2" t="s">
        <v>24</v>
      </c>
      <c r="J95" s="2" t="s">
        <v>35</v>
      </c>
      <c r="K95" s="5">
        <v>4.0</v>
      </c>
      <c r="L95" s="5">
        <v>7.5</v>
      </c>
      <c r="M95" s="7">
        <v>46113.0</v>
      </c>
      <c r="N95" s="2" t="s">
        <v>37</v>
      </c>
      <c r="O95" s="2" t="s">
        <v>28</v>
      </c>
      <c r="Q95" s="2" t="s">
        <v>29</v>
      </c>
      <c r="R95" s="2" t="s">
        <v>265</v>
      </c>
      <c r="S95" s="2">
        <v>9.831731211E9</v>
      </c>
      <c r="T95" s="6">
        <v>46040.584965277776</v>
      </c>
    </row>
    <row r="96">
      <c r="A96" s="2" t="s">
        <v>266</v>
      </c>
      <c r="B96" s="2" t="s">
        <v>21</v>
      </c>
      <c r="C96" s="3">
        <v>46042.0</v>
      </c>
      <c r="D96" s="4">
        <v>0.2916666666678793</v>
      </c>
      <c r="E96" s="3">
        <v>46042.0</v>
      </c>
      <c r="F96" s="4">
        <v>0.6145833333321207</v>
      </c>
      <c r="G96" s="2" t="s">
        <v>65</v>
      </c>
      <c r="H96" s="2" t="s">
        <v>33</v>
      </c>
      <c r="I96" s="2" t="s">
        <v>34</v>
      </c>
      <c r="J96" s="2" t="s">
        <v>35</v>
      </c>
      <c r="K96" s="5">
        <v>4.0</v>
      </c>
      <c r="L96" s="5">
        <v>7.75</v>
      </c>
      <c r="M96" s="9">
        <v>46113.0</v>
      </c>
      <c r="N96" s="2" t="s">
        <v>57</v>
      </c>
      <c r="O96" s="2" t="s">
        <v>28</v>
      </c>
      <c r="Q96" s="2" t="s">
        <v>29</v>
      </c>
      <c r="R96" s="2" t="s">
        <v>267</v>
      </c>
      <c r="S96" s="2">
        <v>9.831731232E9</v>
      </c>
      <c r="T96" s="6">
        <v>46042.585011574076</v>
      </c>
    </row>
    <row r="97">
      <c r="A97" s="2" t="s">
        <v>268</v>
      </c>
      <c r="B97" s="2" t="s">
        <v>21</v>
      </c>
      <c r="C97" s="3">
        <v>46043.0</v>
      </c>
      <c r="D97" s="4">
        <v>0.2916666666678793</v>
      </c>
      <c r="E97" s="3">
        <v>46043.0</v>
      </c>
      <c r="F97" s="4">
        <v>0.625</v>
      </c>
      <c r="G97" s="2" t="s">
        <v>46</v>
      </c>
      <c r="H97" s="2" t="s">
        <v>23</v>
      </c>
      <c r="I97" s="2" t="s">
        <v>24</v>
      </c>
      <c r="J97" s="2" t="s">
        <v>35</v>
      </c>
      <c r="K97" s="5">
        <v>4.0</v>
      </c>
      <c r="L97" s="5">
        <v>8.0</v>
      </c>
      <c r="M97" s="9">
        <v>46113.0</v>
      </c>
      <c r="N97" s="2" t="s">
        <v>27</v>
      </c>
      <c r="O97" s="2" t="s">
        <v>28</v>
      </c>
      <c r="Q97" s="2" t="s">
        <v>29</v>
      </c>
      <c r="R97" s="2" t="s">
        <v>269</v>
      </c>
      <c r="S97" s="2">
        <v>9.831731246E9</v>
      </c>
      <c r="T97" s="6">
        <v>46043.58498842592</v>
      </c>
    </row>
    <row r="98">
      <c r="A98" s="2" t="s">
        <v>270</v>
      </c>
      <c r="B98" s="2" t="s">
        <v>21</v>
      </c>
      <c r="C98" s="3">
        <v>46045.0</v>
      </c>
      <c r="D98" s="4">
        <v>0.6666666666678793</v>
      </c>
      <c r="E98" s="3">
        <v>46045.0</v>
      </c>
      <c r="F98" s="4">
        <v>0.7916666666678793</v>
      </c>
      <c r="G98" s="2" t="s">
        <v>271</v>
      </c>
      <c r="H98" s="2" t="s">
        <v>33</v>
      </c>
      <c r="I98" s="2" t="s">
        <v>34</v>
      </c>
      <c r="J98" s="2" t="s">
        <v>25</v>
      </c>
      <c r="K98" s="5">
        <v>2.0</v>
      </c>
      <c r="L98" s="5">
        <v>3.0</v>
      </c>
      <c r="M98" s="9">
        <v>46113.0</v>
      </c>
      <c r="N98" s="2" t="s">
        <v>47</v>
      </c>
      <c r="O98" s="2" t="s">
        <v>28</v>
      </c>
      <c r="Q98" s="2" t="s">
        <v>29</v>
      </c>
      <c r="R98" s="2" t="s">
        <v>272</v>
      </c>
      <c r="S98" s="2">
        <v>9.850791954E9</v>
      </c>
      <c r="T98" s="6">
        <v>46045.751655092594</v>
      </c>
    </row>
    <row r="99">
      <c r="A99" s="2" t="s">
        <v>273</v>
      </c>
      <c r="B99" s="2" t="s">
        <v>21</v>
      </c>
      <c r="C99" s="3">
        <v>46051.0</v>
      </c>
      <c r="D99" s="4">
        <v>0.6145833333321207</v>
      </c>
      <c r="E99" s="3">
        <v>46051.0</v>
      </c>
      <c r="F99" s="4">
        <v>0.9166666666678793</v>
      </c>
      <c r="G99" s="2" t="s">
        <v>22</v>
      </c>
      <c r="H99" s="2" t="s">
        <v>23</v>
      </c>
      <c r="I99" s="2" t="s">
        <v>24</v>
      </c>
      <c r="J99" s="2" t="s">
        <v>25</v>
      </c>
      <c r="K99" s="5">
        <v>2.0</v>
      </c>
      <c r="L99" s="5">
        <v>7.25</v>
      </c>
      <c r="M99" s="9">
        <v>46143.0</v>
      </c>
      <c r="N99" s="2" t="s">
        <v>62</v>
      </c>
      <c r="O99" s="2" t="s">
        <v>246</v>
      </c>
      <c r="P99" s="8"/>
      <c r="Q99" s="2" t="s">
        <v>29</v>
      </c>
      <c r="R99" s="2" t="s">
        <v>274</v>
      </c>
      <c r="S99" s="7">
        <v>45988.944756944446</v>
      </c>
      <c r="T99" s="6"/>
      <c r="U99" s="8"/>
      <c r="V99" s="8"/>
      <c r="W99" s="8"/>
      <c r="X99" s="8"/>
      <c r="Y99" s="8"/>
      <c r="Z99" s="8"/>
    </row>
    <row r="100">
      <c r="A100" s="2" t="s">
        <v>275</v>
      </c>
      <c r="B100" s="2" t="s">
        <v>21</v>
      </c>
      <c r="C100" s="3">
        <v>46052.0</v>
      </c>
      <c r="D100" s="4">
        <v>0.6041666666678793</v>
      </c>
      <c r="E100" s="3">
        <v>46052.0</v>
      </c>
      <c r="F100" s="4">
        <v>0.9166666666678793</v>
      </c>
      <c r="G100" s="2" t="s">
        <v>43</v>
      </c>
      <c r="H100" s="2" t="s">
        <v>33</v>
      </c>
      <c r="I100" s="2" t="s">
        <v>34</v>
      </c>
      <c r="J100" s="2" t="s">
        <v>25</v>
      </c>
      <c r="K100" s="5">
        <v>2.0</v>
      </c>
      <c r="L100" s="5">
        <v>7.5</v>
      </c>
      <c r="M100" s="9">
        <v>46143.0</v>
      </c>
      <c r="N100" s="2" t="s">
        <v>47</v>
      </c>
      <c r="O100" s="2" t="s">
        <v>28</v>
      </c>
      <c r="Q100" s="2" t="s">
        <v>29</v>
      </c>
      <c r="R100" s="2" t="s">
        <v>276</v>
      </c>
      <c r="S100" s="2">
        <v>9.831731317E9</v>
      </c>
      <c r="T100" s="6">
        <v>46052.87667824074</v>
      </c>
    </row>
    <row r="101">
      <c r="A101" s="2" t="s">
        <v>277</v>
      </c>
      <c r="B101" s="2" t="s">
        <v>21</v>
      </c>
      <c r="C101" s="3">
        <v>46054.0</v>
      </c>
      <c r="D101" s="4">
        <v>0.2916666666678793</v>
      </c>
      <c r="E101" s="3">
        <v>46054.0</v>
      </c>
      <c r="F101" s="4">
        <v>0.6041666666678793</v>
      </c>
      <c r="G101" s="2" t="s">
        <v>74</v>
      </c>
      <c r="H101" s="2" t="s">
        <v>23</v>
      </c>
      <c r="I101" s="2" t="s">
        <v>24</v>
      </c>
      <c r="J101" s="2" t="s">
        <v>35</v>
      </c>
      <c r="K101" s="5">
        <v>4.0</v>
      </c>
      <c r="L101" s="5">
        <v>7.5</v>
      </c>
      <c r="M101" s="9">
        <v>46174.0</v>
      </c>
      <c r="N101" s="2" t="s">
        <v>37</v>
      </c>
      <c r="O101" s="2" t="s">
        <v>28</v>
      </c>
      <c r="Q101" s="2" t="s">
        <v>29</v>
      </c>
      <c r="R101" s="2" t="s">
        <v>278</v>
      </c>
      <c r="S101" s="2">
        <v>9.831731345E9</v>
      </c>
      <c r="T101" s="6">
        <v>46054.58515046297</v>
      </c>
    </row>
    <row r="102">
      <c r="A102" s="2" t="s">
        <v>279</v>
      </c>
      <c r="B102" s="2" t="s">
        <v>21</v>
      </c>
      <c r="C102" s="3">
        <v>46056.0</v>
      </c>
      <c r="D102" s="4">
        <v>0.6041666666678793</v>
      </c>
      <c r="E102" s="3">
        <v>46056.0</v>
      </c>
      <c r="F102" s="4">
        <v>0.9166666666678793</v>
      </c>
      <c r="G102" s="2" t="s">
        <v>43</v>
      </c>
      <c r="H102" s="2" t="s">
        <v>33</v>
      </c>
      <c r="I102" s="2" t="s">
        <v>34</v>
      </c>
      <c r="J102" s="2" t="s">
        <v>25</v>
      </c>
      <c r="K102" s="5">
        <v>2.0</v>
      </c>
      <c r="L102" s="5">
        <v>7.5</v>
      </c>
      <c r="M102" s="9">
        <v>46174.0</v>
      </c>
      <c r="N102" s="2" t="s">
        <v>57</v>
      </c>
      <c r="O102" s="2" t="s">
        <v>28</v>
      </c>
      <c r="Q102" s="2" t="s">
        <v>29</v>
      </c>
      <c r="R102" s="2" t="s">
        <v>280</v>
      </c>
      <c r="S102" s="2">
        <v>9.86915263E9</v>
      </c>
      <c r="T102" s="6">
        <v>46056.87664351852</v>
      </c>
    </row>
    <row r="103">
      <c r="A103" s="2" t="s">
        <v>281</v>
      </c>
      <c r="B103" s="2" t="s">
        <v>21</v>
      </c>
      <c r="C103" s="3">
        <v>46057.0</v>
      </c>
      <c r="D103" s="4">
        <v>0.6145833333321207</v>
      </c>
      <c r="E103" s="3">
        <v>46057.0</v>
      </c>
      <c r="F103" s="4">
        <v>0.9166666666678793</v>
      </c>
      <c r="G103" s="2" t="s">
        <v>22</v>
      </c>
      <c r="H103" s="2" t="s">
        <v>23</v>
      </c>
      <c r="I103" s="2" t="s">
        <v>24</v>
      </c>
      <c r="J103" s="2" t="s">
        <v>25</v>
      </c>
      <c r="K103" s="5">
        <v>2.0</v>
      </c>
      <c r="L103" s="5">
        <v>7.25</v>
      </c>
      <c r="M103" s="9">
        <v>46174.0</v>
      </c>
      <c r="N103" s="2" t="s">
        <v>27</v>
      </c>
      <c r="O103" s="2" t="s">
        <v>246</v>
      </c>
      <c r="P103" s="8"/>
      <c r="Q103" s="2" t="s">
        <v>29</v>
      </c>
      <c r="R103" s="2" t="s">
        <v>282</v>
      </c>
      <c r="S103" s="2">
        <v>9.831731392E9</v>
      </c>
      <c r="T103" s="6">
        <v>46052.04332175926</v>
      </c>
      <c r="U103" s="8"/>
      <c r="V103" s="8"/>
      <c r="W103" s="8"/>
      <c r="X103" s="8"/>
      <c r="Y103" s="8"/>
      <c r="Z103" s="8"/>
    </row>
    <row r="104">
      <c r="A104" s="2" t="s">
        <v>283</v>
      </c>
      <c r="B104" s="2" t="s">
        <v>21</v>
      </c>
      <c r="C104" s="3">
        <v>46057.0</v>
      </c>
      <c r="D104" s="4">
        <v>0.2916666666678793</v>
      </c>
      <c r="E104" s="3">
        <v>46057.0</v>
      </c>
      <c r="F104" s="4">
        <v>0.625</v>
      </c>
      <c r="G104" s="2" t="s">
        <v>46</v>
      </c>
      <c r="H104" s="2" t="s">
        <v>23</v>
      </c>
      <c r="I104" s="2" t="s">
        <v>24</v>
      </c>
      <c r="J104" s="2" t="s">
        <v>35</v>
      </c>
      <c r="K104" s="5">
        <v>4.0</v>
      </c>
      <c r="L104" s="5">
        <v>8.0</v>
      </c>
      <c r="M104" s="9">
        <v>46174.0</v>
      </c>
      <c r="N104" s="2" t="s">
        <v>27</v>
      </c>
      <c r="O104" s="2" t="s">
        <v>28</v>
      </c>
      <c r="Q104" s="2" t="s">
        <v>29</v>
      </c>
      <c r="R104" s="2" t="s">
        <v>284</v>
      </c>
      <c r="S104" s="2"/>
      <c r="T104" s="6">
        <v>46057.585011574076</v>
      </c>
    </row>
    <row r="105">
      <c r="A105" s="2" t="s">
        <v>285</v>
      </c>
      <c r="B105" s="2" t="s">
        <v>21</v>
      </c>
      <c r="C105" s="3">
        <v>46063.0</v>
      </c>
      <c r="D105" s="4">
        <v>0.2916666666678793</v>
      </c>
      <c r="E105" s="3">
        <v>46063.0</v>
      </c>
      <c r="F105" s="4">
        <v>0.6145833333321207</v>
      </c>
      <c r="G105" s="2" t="s">
        <v>65</v>
      </c>
      <c r="H105" s="2" t="s">
        <v>33</v>
      </c>
      <c r="I105" s="2" t="s">
        <v>34</v>
      </c>
      <c r="J105" s="2" t="s">
        <v>35</v>
      </c>
      <c r="K105" s="5">
        <v>4.0</v>
      </c>
      <c r="L105" s="5">
        <v>7.75</v>
      </c>
      <c r="M105" s="9">
        <v>46204.0</v>
      </c>
      <c r="N105" s="2" t="s">
        <v>57</v>
      </c>
      <c r="O105" s="2" t="s">
        <v>28</v>
      </c>
      <c r="Q105" s="2" t="s">
        <v>29</v>
      </c>
      <c r="R105" s="2" t="s">
        <v>286</v>
      </c>
      <c r="S105" s="2">
        <v>9.869152684E9</v>
      </c>
      <c r="T105" s="6">
        <v>46063.5849537037</v>
      </c>
    </row>
    <row r="106">
      <c r="A106" s="2" t="s">
        <v>287</v>
      </c>
      <c r="B106" s="2" t="s">
        <v>21</v>
      </c>
      <c r="C106" s="3">
        <v>46065.0</v>
      </c>
      <c r="D106" s="4">
        <v>0.6145833333321207</v>
      </c>
      <c r="E106" s="3">
        <v>46065.0</v>
      </c>
      <c r="F106" s="4">
        <v>0.9166666666678793</v>
      </c>
      <c r="G106" s="2" t="s">
        <v>22</v>
      </c>
      <c r="H106" s="2" t="s">
        <v>23</v>
      </c>
      <c r="I106" s="2" t="s">
        <v>24</v>
      </c>
      <c r="J106" s="2" t="s">
        <v>25</v>
      </c>
      <c r="K106" s="5">
        <v>2.0</v>
      </c>
      <c r="L106" s="5">
        <v>7.25</v>
      </c>
      <c r="M106" s="9">
        <v>46204.0</v>
      </c>
      <c r="N106" s="2" t="s">
        <v>62</v>
      </c>
      <c r="O106" s="2" t="s">
        <v>28</v>
      </c>
      <c r="Q106" s="2" t="s">
        <v>29</v>
      </c>
      <c r="R106" s="2" t="s">
        <v>288</v>
      </c>
      <c r="S106" s="2"/>
      <c r="T106" s="6">
        <v>46065.87663194444</v>
      </c>
    </row>
    <row r="107">
      <c r="A107" s="2" t="s">
        <v>289</v>
      </c>
      <c r="B107" s="2" t="s">
        <v>21</v>
      </c>
      <c r="C107" s="3">
        <v>46066.0</v>
      </c>
      <c r="D107" s="4">
        <v>0.2916666666678793</v>
      </c>
      <c r="E107" s="3">
        <v>46066.0</v>
      </c>
      <c r="F107" s="4">
        <v>0.6145833333321207</v>
      </c>
      <c r="G107" s="2" t="s">
        <v>65</v>
      </c>
      <c r="H107" s="2" t="s">
        <v>33</v>
      </c>
      <c r="I107" s="2" t="s">
        <v>34</v>
      </c>
      <c r="J107" s="2" t="s">
        <v>35</v>
      </c>
      <c r="K107" s="5">
        <v>4.0</v>
      </c>
      <c r="L107" s="5">
        <v>7.75</v>
      </c>
      <c r="M107" s="9">
        <v>46204.0</v>
      </c>
      <c r="N107" s="2" t="s">
        <v>47</v>
      </c>
      <c r="O107" s="2" t="s">
        <v>28</v>
      </c>
      <c r="Q107" s="2" t="s">
        <v>29</v>
      </c>
      <c r="R107" s="2" t="s">
        <v>290</v>
      </c>
      <c r="S107" s="2"/>
      <c r="T107" s="6">
        <v>46066.58497685185</v>
      </c>
    </row>
    <row r="108">
      <c r="A108" s="2" t="s">
        <v>291</v>
      </c>
      <c r="B108" s="2" t="s">
        <v>21</v>
      </c>
      <c r="C108" s="3">
        <v>46068.0</v>
      </c>
      <c r="D108" s="4">
        <v>0.2916666666678793</v>
      </c>
      <c r="E108" s="3">
        <v>46068.0</v>
      </c>
      <c r="F108" s="4">
        <v>0.6041666666678793</v>
      </c>
      <c r="G108" s="2" t="s">
        <v>74</v>
      </c>
      <c r="H108" s="2" t="s">
        <v>23</v>
      </c>
      <c r="I108" s="2" t="s">
        <v>24</v>
      </c>
      <c r="J108" s="2" t="s">
        <v>35</v>
      </c>
      <c r="K108" s="5">
        <v>4.0</v>
      </c>
      <c r="L108" s="5">
        <v>7.5</v>
      </c>
      <c r="M108" s="9">
        <v>46235.0</v>
      </c>
      <c r="N108" s="2" t="s">
        <v>37</v>
      </c>
      <c r="O108" s="2" t="s">
        <v>28</v>
      </c>
      <c r="Q108" s="2" t="s">
        <v>29</v>
      </c>
      <c r="R108" s="2" t="s">
        <v>292</v>
      </c>
      <c r="S108" s="2"/>
      <c r="T108" s="6">
        <v>46068.5849537037</v>
      </c>
    </row>
    <row r="109">
      <c r="A109" s="2" t="s">
        <v>293</v>
      </c>
      <c r="B109" s="2" t="s">
        <v>21</v>
      </c>
      <c r="C109" s="3">
        <v>46070.0</v>
      </c>
      <c r="D109" s="4">
        <v>0.2916666666678793</v>
      </c>
      <c r="E109" s="3">
        <v>46070.0</v>
      </c>
      <c r="F109" s="4">
        <v>0.6145833333321207</v>
      </c>
      <c r="G109" s="2" t="s">
        <v>65</v>
      </c>
      <c r="H109" s="2" t="s">
        <v>33</v>
      </c>
      <c r="I109" s="2" t="s">
        <v>34</v>
      </c>
      <c r="J109" s="2" t="s">
        <v>35</v>
      </c>
      <c r="K109" s="5">
        <v>4.0</v>
      </c>
      <c r="L109" s="5">
        <v>7.75</v>
      </c>
      <c r="M109" s="9">
        <v>46235.0</v>
      </c>
      <c r="N109" s="2" t="s">
        <v>57</v>
      </c>
      <c r="O109" s="2" t="s">
        <v>28</v>
      </c>
      <c r="Q109" s="2" t="s">
        <v>29</v>
      </c>
      <c r="R109" s="2" t="s">
        <v>294</v>
      </c>
      <c r="S109" s="2"/>
      <c r="T109" s="6">
        <v>46070.584965277776</v>
      </c>
    </row>
    <row r="110">
      <c r="A110" s="2" t="s">
        <v>295</v>
      </c>
      <c r="B110" s="2" t="s">
        <v>21</v>
      </c>
      <c r="C110" s="3">
        <v>46074.0</v>
      </c>
      <c r="D110" s="4">
        <v>0.2916666666678793</v>
      </c>
      <c r="E110" s="3">
        <v>46074.0</v>
      </c>
      <c r="F110" s="4">
        <v>0.6041666666678793</v>
      </c>
      <c r="G110" s="2" t="s">
        <v>74</v>
      </c>
      <c r="H110" s="2" t="s">
        <v>23</v>
      </c>
      <c r="I110" s="2" t="s">
        <v>24</v>
      </c>
      <c r="J110" s="2" t="s">
        <v>35</v>
      </c>
      <c r="K110" s="5">
        <v>4.0</v>
      </c>
      <c r="L110" s="5">
        <v>7.5</v>
      </c>
      <c r="M110" s="9">
        <v>46235.0</v>
      </c>
      <c r="N110" s="2" t="s">
        <v>50</v>
      </c>
      <c r="O110" s="2" t="s">
        <v>28</v>
      </c>
      <c r="Q110" s="2" t="s">
        <v>29</v>
      </c>
      <c r="R110" s="2" t="s">
        <v>296</v>
      </c>
      <c r="S110" s="2"/>
      <c r="T110" s="6">
        <v>46074.5849537037</v>
      </c>
    </row>
    <row r="111">
      <c r="A111" s="2" t="s">
        <v>297</v>
      </c>
      <c r="B111" s="2" t="s">
        <v>21</v>
      </c>
      <c r="C111" s="3">
        <v>46079.0</v>
      </c>
      <c r="D111" s="4">
        <v>0.6145833333321207</v>
      </c>
      <c r="E111" s="3">
        <v>46079.0</v>
      </c>
      <c r="F111" s="4">
        <v>0.9166666666678793</v>
      </c>
      <c r="G111" s="2" t="s">
        <v>22</v>
      </c>
      <c r="H111" s="2" t="s">
        <v>23</v>
      </c>
      <c r="I111" s="2" t="s">
        <v>24</v>
      </c>
      <c r="J111" s="2" t="s">
        <v>25</v>
      </c>
      <c r="K111" s="5">
        <v>2.0</v>
      </c>
      <c r="L111" s="5">
        <v>7.25</v>
      </c>
      <c r="M111" s="9">
        <v>46266.0</v>
      </c>
      <c r="N111" s="2" t="s">
        <v>62</v>
      </c>
      <c r="O111" s="2" t="s">
        <v>28</v>
      </c>
      <c r="Q111" s="2" t="s">
        <v>29</v>
      </c>
      <c r="R111" s="2" t="s">
        <v>298</v>
      </c>
      <c r="S111" s="2"/>
      <c r="T111" s="6">
        <v>46079.876655092594</v>
      </c>
    </row>
    <row r="112">
      <c r="A112" s="2" t="s">
        <v>299</v>
      </c>
      <c r="B112" s="2" t="s">
        <v>21</v>
      </c>
      <c r="C112" s="3">
        <v>46082.0</v>
      </c>
      <c r="D112" s="4">
        <v>0.2916666666678793</v>
      </c>
      <c r="E112" s="3">
        <v>46082.0</v>
      </c>
      <c r="F112" s="4">
        <v>0.6041666666678793</v>
      </c>
      <c r="G112" s="2" t="s">
        <v>74</v>
      </c>
      <c r="H112" s="2" t="s">
        <v>23</v>
      </c>
      <c r="I112" s="2" t="s">
        <v>24</v>
      </c>
      <c r="J112" s="2" t="s">
        <v>35</v>
      </c>
      <c r="K112" s="5">
        <v>4.0</v>
      </c>
      <c r="L112" s="5">
        <v>7.5</v>
      </c>
      <c r="M112" s="9">
        <v>46296.0</v>
      </c>
      <c r="N112" s="2" t="s">
        <v>37</v>
      </c>
      <c r="O112" s="2" t="s">
        <v>28</v>
      </c>
      <c r="Q112" s="2" t="s">
        <v>29</v>
      </c>
      <c r="R112" s="2" t="s">
        <v>300</v>
      </c>
      <c r="S112" s="2"/>
      <c r="T112" s="6">
        <v>46082.584965277776</v>
      </c>
    </row>
    <row r="113">
      <c r="A113" s="2" t="s">
        <v>301</v>
      </c>
      <c r="B113" s="2" t="s">
        <v>21</v>
      </c>
      <c r="C113" s="3">
        <v>46084.0</v>
      </c>
      <c r="D113" s="4">
        <v>0.6041666666678793</v>
      </c>
      <c r="E113" s="3">
        <v>46084.0</v>
      </c>
      <c r="F113" s="4">
        <v>0.9166666666678793</v>
      </c>
      <c r="G113" s="2" t="s">
        <v>43</v>
      </c>
      <c r="H113" s="2" t="s">
        <v>33</v>
      </c>
      <c r="I113" s="2" t="s">
        <v>34</v>
      </c>
      <c r="J113" s="2" t="s">
        <v>25</v>
      </c>
      <c r="K113" s="5">
        <v>2.0</v>
      </c>
      <c r="L113" s="5">
        <v>7.5</v>
      </c>
      <c r="M113" s="9">
        <v>46296.0</v>
      </c>
      <c r="N113" s="2" t="s">
        <v>57</v>
      </c>
      <c r="O113" s="2" t="s">
        <v>28</v>
      </c>
      <c r="Q113" s="2" t="s">
        <v>29</v>
      </c>
      <c r="R113" s="2" t="s">
        <v>302</v>
      </c>
      <c r="S113" s="2"/>
      <c r="T113" s="6">
        <v>46084.87663194444</v>
      </c>
    </row>
    <row r="114">
      <c r="A114" s="2" t="s">
        <v>303</v>
      </c>
      <c r="B114" s="2" t="s">
        <v>21</v>
      </c>
      <c r="C114" s="3">
        <v>46088.0</v>
      </c>
      <c r="D114" s="4">
        <v>0.6041666666678793</v>
      </c>
      <c r="E114" s="3">
        <v>46088.0</v>
      </c>
      <c r="F114" s="4">
        <v>0.9166666666678793</v>
      </c>
      <c r="G114" s="2" t="s">
        <v>43</v>
      </c>
      <c r="H114" s="2" t="s">
        <v>33</v>
      </c>
      <c r="I114" s="2" t="s">
        <v>34</v>
      </c>
      <c r="J114" s="2" t="s">
        <v>25</v>
      </c>
      <c r="K114" s="5">
        <v>2.0</v>
      </c>
      <c r="L114" s="5">
        <v>7.5</v>
      </c>
      <c r="M114" s="9">
        <v>46296.0</v>
      </c>
      <c r="N114" s="2" t="s">
        <v>50</v>
      </c>
      <c r="O114" s="2" t="s">
        <v>304</v>
      </c>
      <c r="Q114" s="2" t="s">
        <v>29</v>
      </c>
      <c r="R114" s="2" t="s">
        <v>305</v>
      </c>
      <c r="S114" s="2" t="s">
        <v>306</v>
      </c>
      <c r="T114" s="6">
        <v>46088.87663194444</v>
      </c>
    </row>
    <row r="115">
      <c r="A115" s="2" t="s">
        <v>307</v>
      </c>
      <c r="B115" s="2" t="s">
        <v>21</v>
      </c>
      <c r="C115" s="3">
        <v>46090.0</v>
      </c>
      <c r="D115" s="4">
        <v>0.2916666666678793</v>
      </c>
      <c r="E115" s="3">
        <v>46090.0</v>
      </c>
      <c r="F115" s="4">
        <v>0.6145833333321207</v>
      </c>
      <c r="G115" s="2" t="s">
        <v>65</v>
      </c>
      <c r="H115" s="2" t="s">
        <v>33</v>
      </c>
      <c r="I115" s="2" t="s">
        <v>34</v>
      </c>
      <c r="J115" s="2" t="s">
        <v>35</v>
      </c>
      <c r="K115" s="5">
        <v>4.0</v>
      </c>
      <c r="L115" s="5">
        <v>7.75</v>
      </c>
      <c r="M115" s="9">
        <v>46327.0</v>
      </c>
      <c r="N115" s="2" t="s">
        <v>40</v>
      </c>
      <c r="O115" s="2" t="s">
        <v>304</v>
      </c>
      <c r="Q115" s="2" t="s">
        <v>29</v>
      </c>
      <c r="R115" s="2" t="s">
        <v>308</v>
      </c>
      <c r="S115" s="2" t="s">
        <v>309</v>
      </c>
      <c r="T115" s="6">
        <v>46090.585023148145</v>
      </c>
    </row>
    <row r="116">
      <c r="A116" s="2" t="s">
        <v>310</v>
      </c>
      <c r="B116" s="2" t="s">
        <v>21</v>
      </c>
      <c r="C116" s="3">
        <v>46091.0</v>
      </c>
      <c r="D116" s="4">
        <v>0.625</v>
      </c>
      <c r="E116" s="3">
        <v>46091.0</v>
      </c>
      <c r="F116" s="4">
        <v>0.6666666666678793</v>
      </c>
      <c r="G116" s="2" t="s">
        <v>226</v>
      </c>
      <c r="H116" s="2" t="s">
        <v>33</v>
      </c>
      <c r="I116" s="2" t="s">
        <v>34</v>
      </c>
      <c r="J116" s="2" t="s">
        <v>25</v>
      </c>
      <c r="K116" s="5">
        <v>2.0</v>
      </c>
      <c r="L116" s="5">
        <v>1.0</v>
      </c>
      <c r="M116" s="9">
        <v>46327.0</v>
      </c>
      <c r="N116" s="2" t="s">
        <v>57</v>
      </c>
      <c r="O116" s="2" t="s">
        <v>304</v>
      </c>
      <c r="Q116" s="2" t="s">
        <v>29</v>
      </c>
      <c r="R116" s="2" t="s">
        <v>311</v>
      </c>
      <c r="S116" s="2" t="s">
        <v>312</v>
      </c>
      <c r="T116" s="6">
        <v>46091.62664351852</v>
      </c>
    </row>
    <row r="117">
      <c r="A117" s="2" t="s">
        <v>313</v>
      </c>
      <c r="B117" s="2" t="s">
        <v>21</v>
      </c>
      <c r="C117" s="3">
        <v>46093.0</v>
      </c>
      <c r="D117" s="4">
        <v>0.6145833333321207</v>
      </c>
      <c r="E117" s="3">
        <v>46093.0</v>
      </c>
      <c r="F117" s="4">
        <v>0.9166666666678793</v>
      </c>
      <c r="G117" s="2" t="s">
        <v>22</v>
      </c>
      <c r="H117" s="2" t="s">
        <v>23</v>
      </c>
      <c r="I117" s="2" t="s">
        <v>24</v>
      </c>
      <c r="J117" s="2" t="s">
        <v>25</v>
      </c>
      <c r="K117" s="5">
        <v>2.0</v>
      </c>
      <c r="L117" s="5">
        <v>7.25</v>
      </c>
      <c r="M117" s="9">
        <v>46327.0</v>
      </c>
      <c r="N117" s="2" t="s">
        <v>62</v>
      </c>
      <c r="O117" s="2" t="s">
        <v>304</v>
      </c>
      <c r="Q117" s="2" t="s">
        <v>29</v>
      </c>
      <c r="R117" s="2" t="s">
        <v>314</v>
      </c>
      <c r="S117" s="2" t="s">
        <v>315</v>
      </c>
      <c r="T117" s="6">
        <v>46093.87663194444</v>
      </c>
    </row>
    <row r="118">
      <c r="A118" s="2" t="s">
        <v>316</v>
      </c>
      <c r="B118" s="2" t="s">
        <v>21</v>
      </c>
      <c r="C118" s="3">
        <v>46094.0</v>
      </c>
      <c r="D118" s="4">
        <v>0.6041666666678793</v>
      </c>
      <c r="E118" s="3">
        <v>46094.0</v>
      </c>
      <c r="F118" s="4">
        <v>0.9166666666678793</v>
      </c>
      <c r="G118" s="2" t="s">
        <v>43</v>
      </c>
      <c r="H118" s="2" t="s">
        <v>33</v>
      </c>
      <c r="I118" s="2" t="s">
        <v>34</v>
      </c>
      <c r="J118" s="2" t="s">
        <v>25</v>
      </c>
      <c r="K118" s="5">
        <v>2.0</v>
      </c>
      <c r="L118" s="5">
        <v>7.5</v>
      </c>
      <c r="M118" s="9">
        <v>46327.0</v>
      </c>
      <c r="N118" s="2" t="s">
        <v>47</v>
      </c>
      <c r="O118" s="2" t="s">
        <v>246</v>
      </c>
      <c r="P118" s="8"/>
      <c r="Q118" s="2" t="s">
        <v>29</v>
      </c>
      <c r="R118" s="2" t="s">
        <v>317</v>
      </c>
      <c r="S118" s="2" t="s">
        <v>318</v>
      </c>
      <c r="T118" s="6">
        <v>46090.75168981482</v>
      </c>
      <c r="U118" s="8"/>
      <c r="V118" s="8"/>
      <c r="W118" s="8"/>
      <c r="X118" s="8"/>
      <c r="Y118" s="8"/>
      <c r="Z118" s="8"/>
    </row>
    <row r="119">
      <c r="A119" s="2" t="s">
        <v>319</v>
      </c>
      <c r="B119" s="2" t="s">
        <v>21</v>
      </c>
      <c r="C119" s="3">
        <v>46095.0</v>
      </c>
      <c r="D119" s="4">
        <v>0.6041666666678793</v>
      </c>
      <c r="E119" s="3">
        <v>46095.0</v>
      </c>
      <c r="F119" s="4">
        <v>0.9166666666678793</v>
      </c>
      <c r="G119" s="2" t="s">
        <v>43</v>
      </c>
      <c r="H119" s="2" t="s">
        <v>23</v>
      </c>
      <c r="I119" s="2" t="s">
        <v>24</v>
      </c>
      <c r="J119" s="2" t="s">
        <v>25</v>
      </c>
      <c r="K119" s="5">
        <v>2.0</v>
      </c>
      <c r="L119" s="5">
        <v>7.5</v>
      </c>
      <c r="M119" s="9">
        <v>46327.0</v>
      </c>
      <c r="N119" s="2" t="s">
        <v>50</v>
      </c>
      <c r="O119" s="2" t="s">
        <v>246</v>
      </c>
      <c r="P119" s="8"/>
      <c r="Q119" s="2" t="s">
        <v>29</v>
      </c>
      <c r="R119" s="2" t="s">
        <v>320</v>
      </c>
      <c r="S119" s="2" t="s">
        <v>321</v>
      </c>
      <c r="T119" s="6">
        <v>46094.710023148145</v>
      </c>
      <c r="U119" s="8"/>
      <c r="V119" s="8"/>
      <c r="W119" s="8"/>
      <c r="X119" s="8"/>
      <c r="Y119" s="8"/>
      <c r="Z119" s="8"/>
    </row>
    <row r="120">
      <c r="A120" s="2" t="s">
        <v>322</v>
      </c>
      <c r="B120" s="2" t="s">
        <v>21</v>
      </c>
      <c r="C120" s="3">
        <v>46096.0</v>
      </c>
      <c r="D120" s="4">
        <v>0.2916666666666667</v>
      </c>
      <c r="E120" s="3">
        <v>46096.0</v>
      </c>
      <c r="F120" s="4">
        <v>0.6041666666666666</v>
      </c>
      <c r="G120" s="2" t="s">
        <v>74</v>
      </c>
      <c r="H120" s="2" t="s">
        <v>23</v>
      </c>
      <c r="I120" s="2" t="s">
        <v>24</v>
      </c>
      <c r="J120" s="2" t="s">
        <v>35</v>
      </c>
      <c r="K120" s="5">
        <v>4.0</v>
      </c>
      <c r="L120" s="5">
        <v>7.5</v>
      </c>
      <c r="M120" s="9">
        <v>46357.0</v>
      </c>
      <c r="N120" s="2" t="s">
        <v>37</v>
      </c>
      <c r="O120" s="2" t="s">
        <v>323</v>
      </c>
      <c r="Q120" s="2" t="s">
        <v>29</v>
      </c>
      <c r="R120" s="2" t="s">
        <v>324</v>
      </c>
      <c r="S120" s="2" t="s">
        <v>325</v>
      </c>
      <c r="T120" s="6">
        <v>46095.83497685185</v>
      </c>
    </row>
    <row r="121">
      <c r="A121" s="2" t="s">
        <v>326</v>
      </c>
      <c r="B121" s="2" t="s">
        <v>21</v>
      </c>
      <c r="C121" s="3">
        <v>46098.0</v>
      </c>
      <c r="D121" s="4">
        <v>0.2916666666666667</v>
      </c>
      <c r="E121" s="3">
        <v>46098.0</v>
      </c>
      <c r="F121" s="4">
        <v>0.6145833333333334</v>
      </c>
      <c r="G121" s="2" t="s">
        <v>65</v>
      </c>
      <c r="H121" s="2" t="s">
        <v>33</v>
      </c>
      <c r="I121" s="2" t="s">
        <v>34</v>
      </c>
      <c r="J121" s="2" t="s">
        <v>35</v>
      </c>
      <c r="K121" s="5">
        <v>4.0</v>
      </c>
      <c r="L121" s="5">
        <v>7.75</v>
      </c>
      <c r="M121" s="9">
        <v>46357.0</v>
      </c>
      <c r="N121" s="2" t="s">
        <v>57</v>
      </c>
      <c r="O121" s="2" t="s">
        <v>323</v>
      </c>
      <c r="Q121" s="2" t="s">
        <v>29</v>
      </c>
      <c r="R121" s="2" t="s">
        <v>327</v>
      </c>
      <c r="S121" s="2" t="s">
        <v>328</v>
      </c>
      <c r="T121" s="6">
        <v>46095.83497685185</v>
      </c>
    </row>
    <row r="122">
      <c r="A122" s="2" t="s">
        <v>329</v>
      </c>
      <c r="B122" s="2" t="s">
        <v>21</v>
      </c>
      <c r="C122" s="3">
        <v>46100.0</v>
      </c>
      <c r="D122" s="4">
        <v>0.6145833333333334</v>
      </c>
      <c r="E122" s="3">
        <v>46100.0</v>
      </c>
      <c r="F122" s="4">
        <v>0.9166666666666666</v>
      </c>
      <c r="G122" s="2" t="s">
        <v>22</v>
      </c>
      <c r="H122" s="2" t="s">
        <v>23</v>
      </c>
      <c r="I122" s="2" t="s">
        <v>24</v>
      </c>
      <c r="J122" s="2" t="s">
        <v>25</v>
      </c>
      <c r="K122" s="5">
        <v>2.0</v>
      </c>
      <c r="L122" s="5">
        <v>7.25</v>
      </c>
      <c r="M122" s="9">
        <v>46357.0</v>
      </c>
      <c r="N122" s="2" t="s">
        <v>62</v>
      </c>
      <c r="O122" s="2" t="s">
        <v>323</v>
      </c>
      <c r="Q122" s="2" t="s">
        <v>29</v>
      </c>
      <c r="R122" s="2" t="s">
        <v>330</v>
      </c>
      <c r="S122" s="2" t="s">
        <v>331</v>
      </c>
      <c r="T122" s="6">
        <v>46095.83497685185</v>
      </c>
    </row>
    <row r="123">
      <c r="A123" s="2" t="s">
        <v>332</v>
      </c>
      <c r="B123" s="2" t="s">
        <v>21</v>
      </c>
      <c r="C123" s="3">
        <v>46102.0</v>
      </c>
      <c r="D123" s="4">
        <v>0.6041666666666666</v>
      </c>
      <c r="E123" s="3">
        <v>46102.0</v>
      </c>
      <c r="F123" s="4">
        <v>0.9166666666666666</v>
      </c>
      <c r="G123" s="2" t="s">
        <v>43</v>
      </c>
      <c r="H123" s="2" t="s">
        <v>23</v>
      </c>
      <c r="I123" s="2" t="s">
        <v>24</v>
      </c>
      <c r="J123" s="2" t="s">
        <v>25</v>
      </c>
      <c r="K123" s="5">
        <v>2.0</v>
      </c>
      <c r="L123" s="5">
        <v>7.5</v>
      </c>
      <c r="M123" s="9">
        <v>46357.0</v>
      </c>
      <c r="N123" s="2" t="s">
        <v>50</v>
      </c>
      <c r="O123" s="2" t="s">
        <v>323</v>
      </c>
      <c r="Q123" s="2" t="s">
        <v>29</v>
      </c>
      <c r="R123" s="2" t="s">
        <v>333</v>
      </c>
      <c r="S123" s="2" t="s">
        <v>334</v>
      </c>
      <c r="T123" s="6">
        <v>46095.83497685185</v>
      </c>
    </row>
    <row r="124">
      <c r="A124" s="2" t="s">
        <v>335</v>
      </c>
      <c r="B124" s="2" t="s">
        <v>21</v>
      </c>
      <c r="C124" s="3">
        <v>46104.0</v>
      </c>
      <c r="D124" s="4">
        <v>0.2916666666666667</v>
      </c>
      <c r="E124" s="3">
        <v>46104.0</v>
      </c>
      <c r="F124" s="4">
        <v>0.6145833333333334</v>
      </c>
      <c r="G124" s="2" t="s">
        <v>65</v>
      </c>
      <c r="H124" s="2" t="s">
        <v>33</v>
      </c>
      <c r="I124" s="2" t="s">
        <v>34</v>
      </c>
      <c r="J124" s="2" t="s">
        <v>35</v>
      </c>
      <c r="K124" s="5">
        <v>4.0</v>
      </c>
      <c r="L124" s="5">
        <v>7.75</v>
      </c>
      <c r="M124" s="2" t="s">
        <v>336</v>
      </c>
      <c r="N124" s="2" t="s">
        <v>40</v>
      </c>
      <c r="O124" s="2" t="s">
        <v>323</v>
      </c>
      <c r="Q124" s="2" t="s">
        <v>29</v>
      </c>
      <c r="R124" s="2" t="s">
        <v>337</v>
      </c>
      <c r="S124" s="2" t="s">
        <v>338</v>
      </c>
      <c r="T124" s="6">
        <v>46095.83497685185</v>
      </c>
    </row>
    <row r="125">
      <c r="A125" s="2" t="s">
        <v>339</v>
      </c>
      <c r="B125" s="2" t="s">
        <v>21</v>
      </c>
      <c r="C125" s="3">
        <v>46110.0</v>
      </c>
      <c r="D125" s="4">
        <v>0.2916666666666667</v>
      </c>
      <c r="E125" s="3">
        <v>46110.0</v>
      </c>
      <c r="F125" s="4">
        <v>0.6041666666666666</v>
      </c>
      <c r="G125" s="2" t="s">
        <v>74</v>
      </c>
      <c r="H125" s="2" t="s">
        <v>23</v>
      </c>
      <c r="I125" s="2" t="s">
        <v>24</v>
      </c>
      <c r="J125" s="2" t="s">
        <v>35</v>
      </c>
      <c r="K125" s="5">
        <v>4.0</v>
      </c>
      <c r="L125" s="5">
        <v>7.5</v>
      </c>
      <c r="M125" s="2" t="s">
        <v>340</v>
      </c>
      <c r="N125" s="2" t="s">
        <v>37</v>
      </c>
      <c r="O125" s="2" t="s">
        <v>323</v>
      </c>
      <c r="Q125" s="2" t="s">
        <v>29</v>
      </c>
      <c r="R125" s="2" t="s">
        <v>341</v>
      </c>
      <c r="S125" s="2" t="s">
        <v>342</v>
      </c>
      <c r="T125" s="6">
        <v>46095.83497685185</v>
      </c>
    </row>
    <row r="126">
      <c r="A126" s="2" t="s">
        <v>343</v>
      </c>
      <c r="B126" s="2" t="s">
        <v>21</v>
      </c>
      <c r="C126" s="3">
        <v>46112.0</v>
      </c>
      <c r="D126" s="4">
        <v>0.6041666666666666</v>
      </c>
      <c r="E126" s="3">
        <v>46112.0</v>
      </c>
      <c r="F126" s="4">
        <v>0.9166666666666666</v>
      </c>
      <c r="G126" s="2" t="s">
        <v>43</v>
      </c>
      <c r="H126" s="2" t="s">
        <v>33</v>
      </c>
      <c r="I126" s="2" t="s">
        <v>34</v>
      </c>
      <c r="J126" s="2" t="s">
        <v>25</v>
      </c>
      <c r="K126" s="5">
        <v>2.0</v>
      </c>
      <c r="L126" s="5">
        <v>7.5</v>
      </c>
      <c r="M126" s="2" t="s">
        <v>340</v>
      </c>
      <c r="N126" s="2" t="s">
        <v>57</v>
      </c>
      <c r="O126" s="2" t="s">
        <v>323</v>
      </c>
      <c r="Q126" s="2" t="s">
        <v>29</v>
      </c>
      <c r="R126" s="2" t="s">
        <v>344</v>
      </c>
      <c r="S126" s="2" t="s">
        <v>345</v>
      </c>
      <c r="T126" s="6">
        <v>46095.83497685185</v>
      </c>
    </row>
    <row r="127">
      <c r="A127" s="2" t="s">
        <v>346</v>
      </c>
      <c r="B127" s="2" t="s">
        <v>21</v>
      </c>
      <c r="C127" s="3">
        <v>46114.0</v>
      </c>
      <c r="D127" s="4">
        <v>0.2916666666666667</v>
      </c>
      <c r="E127" s="3">
        <v>46114.0</v>
      </c>
      <c r="F127" s="4">
        <v>0.625</v>
      </c>
      <c r="G127" s="2" t="s">
        <v>46</v>
      </c>
      <c r="H127" s="2" t="s">
        <v>23</v>
      </c>
      <c r="I127" s="2" t="s">
        <v>24</v>
      </c>
      <c r="J127" s="2" t="s">
        <v>35</v>
      </c>
      <c r="K127" s="5">
        <v>4.0</v>
      </c>
      <c r="L127" s="5">
        <v>8.0</v>
      </c>
      <c r="M127" s="2" t="s">
        <v>340</v>
      </c>
      <c r="N127" s="2" t="s">
        <v>62</v>
      </c>
      <c r="O127" s="2" t="s">
        <v>323</v>
      </c>
      <c r="Q127" s="2" t="s">
        <v>29</v>
      </c>
      <c r="R127" s="2" t="s">
        <v>347</v>
      </c>
      <c r="S127" s="2" t="s">
        <v>348</v>
      </c>
      <c r="T127" s="6">
        <v>46095.83497685185</v>
      </c>
    </row>
    <row r="128">
      <c r="A128" s="2" t="s">
        <v>349</v>
      </c>
      <c r="B128" s="2" t="s">
        <v>21</v>
      </c>
      <c r="C128" s="3">
        <v>46117.0</v>
      </c>
      <c r="D128" s="4">
        <v>0.2916666666666667</v>
      </c>
      <c r="E128" s="3">
        <v>46117.0</v>
      </c>
      <c r="F128" s="4">
        <v>0.6041666666666666</v>
      </c>
      <c r="G128" s="2" t="s">
        <v>74</v>
      </c>
      <c r="H128" s="2" t="s">
        <v>23</v>
      </c>
      <c r="I128" s="2" t="s">
        <v>24</v>
      </c>
      <c r="J128" s="2" t="s">
        <v>35</v>
      </c>
      <c r="K128" s="5">
        <v>4.0</v>
      </c>
      <c r="L128" s="5">
        <v>7.5</v>
      </c>
      <c r="M128" s="2" t="s">
        <v>350</v>
      </c>
      <c r="N128" s="2" t="s">
        <v>37</v>
      </c>
      <c r="O128" s="2" t="s">
        <v>323</v>
      </c>
      <c r="Q128" s="2" t="s">
        <v>29</v>
      </c>
      <c r="R128" s="2" t="s">
        <v>351</v>
      </c>
      <c r="S128" s="2" t="s">
        <v>352</v>
      </c>
      <c r="T128" s="6">
        <v>46095.83497685185</v>
      </c>
    </row>
    <row r="129">
      <c r="A129" s="2" t="s">
        <v>353</v>
      </c>
      <c r="B129" s="2" t="s">
        <v>21</v>
      </c>
      <c r="C129" s="3">
        <v>46121.0</v>
      </c>
      <c r="D129" s="4">
        <v>0.6145833333333334</v>
      </c>
      <c r="E129" s="3">
        <v>46121.0</v>
      </c>
      <c r="F129" s="4">
        <v>0.9166666666666666</v>
      </c>
      <c r="G129" s="2" t="s">
        <v>22</v>
      </c>
      <c r="H129" s="2" t="s">
        <v>23</v>
      </c>
      <c r="I129" s="2" t="s">
        <v>24</v>
      </c>
      <c r="J129" s="2" t="s">
        <v>25</v>
      </c>
      <c r="K129" s="5">
        <v>2.0</v>
      </c>
      <c r="L129" s="5">
        <v>7.25</v>
      </c>
      <c r="M129" s="2" t="s">
        <v>350</v>
      </c>
      <c r="N129" s="2" t="s">
        <v>62</v>
      </c>
      <c r="O129" s="2" t="s">
        <v>323</v>
      </c>
      <c r="Q129" s="2" t="s">
        <v>29</v>
      </c>
      <c r="R129" s="2" t="s">
        <v>354</v>
      </c>
      <c r="S129" s="2" t="s">
        <v>355</v>
      </c>
      <c r="T129" s="6">
        <v>46095.83497685185</v>
      </c>
    </row>
    <row r="130">
      <c r="A130" s="2" t="s">
        <v>356</v>
      </c>
      <c r="B130" s="2" t="s">
        <v>21</v>
      </c>
      <c r="C130" s="3">
        <v>46128.0</v>
      </c>
      <c r="D130" s="4">
        <v>0.6145833333333334</v>
      </c>
      <c r="E130" s="3">
        <v>46128.0</v>
      </c>
      <c r="F130" s="4">
        <v>0.9166666666666666</v>
      </c>
      <c r="G130" s="2" t="s">
        <v>22</v>
      </c>
      <c r="H130" s="2" t="s">
        <v>23</v>
      </c>
      <c r="I130" s="2" t="s">
        <v>24</v>
      </c>
      <c r="J130" s="2" t="s">
        <v>25</v>
      </c>
      <c r="K130" s="5">
        <v>2.0</v>
      </c>
      <c r="L130" s="5">
        <v>7.25</v>
      </c>
      <c r="M130" s="2" t="s">
        <v>357</v>
      </c>
      <c r="N130" s="2" t="s">
        <v>62</v>
      </c>
      <c r="O130" s="2" t="s">
        <v>323</v>
      </c>
      <c r="Q130" s="2" t="s">
        <v>29</v>
      </c>
      <c r="R130" s="2" t="s">
        <v>358</v>
      </c>
      <c r="S130" s="2" t="s">
        <v>359</v>
      </c>
      <c r="T130" s="6">
        <v>46095.83497685185</v>
      </c>
    </row>
    <row r="131">
      <c r="A131" s="2" t="s">
        <v>360</v>
      </c>
      <c r="B131" s="2" t="s">
        <v>21</v>
      </c>
      <c r="C131" s="3">
        <v>46131.0</v>
      </c>
      <c r="D131" s="4">
        <v>0.2916666666666667</v>
      </c>
      <c r="E131" s="3">
        <v>46131.0</v>
      </c>
      <c r="F131" s="4">
        <v>0.6041666666666666</v>
      </c>
      <c r="G131" s="2" t="s">
        <v>74</v>
      </c>
      <c r="H131" s="2" t="s">
        <v>23</v>
      </c>
      <c r="I131" s="2" t="s">
        <v>24</v>
      </c>
      <c r="J131" s="2" t="s">
        <v>35</v>
      </c>
      <c r="K131" s="5">
        <v>4.0</v>
      </c>
      <c r="L131" s="5">
        <v>7.5</v>
      </c>
      <c r="M131" s="2" t="s">
        <v>361</v>
      </c>
      <c r="N131" s="2" t="s">
        <v>37</v>
      </c>
      <c r="O131" s="2" t="s">
        <v>323</v>
      </c>
      <c r="Q131" s="2" t="s">
        <v>29</v>
      </c>
      <c r="R131" s="2" t="s">
        <v>362</v>
      </c>
      <c r="S131" s="2" t="s">
        <v>363</v>
      </c>
      <c r="T131" s="6">
        <v>46095.83497685185</v>
      </c>
    </row>
    <row r="132">
      <c r="A132" s="2" t="s">
        <v>364</v>
      </c>
      <c r="B132" s="2" t="s">
        <v>21</v>
      </c>
      <c r="C132" s="3">
        <v>46134.0</v>
      </c>
      <c r="D132" s="4">
        <v>0.6145833333333334</v>
      </c>
      <c r="E132" s="3">
        <v>46134.0</v>
      </c>
      <c r="F132" s="4">
        <v>0.9166666666666666</v>
      </c>
      <c r="G132" s="2" t="s">
        <v>22</v>
      </c>
      <c r="H132" s="2" t="s">
        <v>23</v>
      </c>
      <c r="I132" s="2" t="s">
        <v>24</v>
      </c>
      <c r="J132" s="2" t="s">
        <v>25</v>
      </c>
      <c r="K132" s="5">
        <v>2.0</v>
      </c>
      <c r="L132" s="5">
        <v>7.25</v>
      </c>
      <c r="M132" s="2" t="s">
        <v>361</v>
      </c>
      <c r="N132" s="2" t="s">
        <v>27</v>
      </c>
      <c r="O132" s="2" t="s">
        <v>323</v>
      </c>
      <c r="Q132" s="2" t="s">
        <v>29</v>
      </c>
      <c r="R132" s="2" t="s">
        <v>365</v>
      </c>
      <c r="S132" s="2" t="s">
        <v>366</v>
      </c>
      <c r="T132" s="6">
        <v>46095.83497685185</v>
      </c>
    </row>
    <row r="133">
      <c r="A133" s="2" t="s">
        <v>367</v>
      </c>
      <c r="B133" s="2" t="s">
        <v>21</v>
      </c>
      <c r="C133" s="3">
        <v>46141.0</v>
      </c>
      <c r="D133" s="4">
        <v>0.2916666666666667</v>
      </c>
      <c r="E133" s="3">
        <v>46141.0</v>
      </c>
      <c r="F133" s="4">
        <v>0.625</v>
      </c>
      <c r="G133" s="2" t="s">
        <v>46</v>
      </c>
      <c r="H133" s="2" t="s">
        <v>23</v>
      </c>
      <c r="I133" s="2" t="s">
        <v>24</v>
      </c>
      <c r="J133" s="2" t="s">
        <v>35</v>
      </c>
      <c r="K133" s="5">
        <v>4.0</v>
      </c>
      <c r="L133" s="5">
        <v>8.0</v>
      </c>
      <c r="M133" s="2" t="s">
        <v>368</v>
      </c>
      <c r="N133" s="2" t="s">
        <v>27</v>
      </c>
      <c r="O133" s="2" t="s">
        <v>323</v>
      </c>
      <c r="Q133" s="2" t="s">
        <v>29</v>
      </c>
      <c r="R133" s="2" t="s">
        <v>369</v>
      </c>
      <c r="S133" s="2" t="s">
        <v>370</v>
      </c>
      <c r="T133" s="6">
        <v>46095.83497685185</v>
      </c>
    </row>
  </sheetData>
  <customSheetViews>
    <customSheetView guid="{9798D353-19B3-4DCC-B162-14306F6FDF23}" filter="1" showAutoFilter="1">
      <autoFilter ref="$A$1:$T$133"/>
    </customSheetView>
    <customSheetView guid="{9798D353-19B3-4DCC-B162-14306F6FDF23}" filter="1" showAutoFilter="1">
      <autoFilter ref="$A$1:$T$133"/>
    </customSheetView>
    <customSheetView guid="{9798D353-19B3-4DCC-B162-14306F6FDF23}" filter="1" showAutoFilter="1">
      <autoFilter ref="$A$1:$T$133"/>
    </customSheetView>
    <customSheetView guid="{9798D353-19B3-4DCC-B162-14306F6FDF23}" filter="1" showAutoFilter="1">
      <autoFilter ref="$A$1:$T$133"/>
    </customSheetView>
    <customSheetView guid="{9798D353-19B3-4DCC-B162-14306F6FDF23}" filter="1" showAutoFilter="1">
      <autoFilter ref="$A$1:$T$133"/>
    </customSheetView>
    <customSheetView guid="{9798D353-19B3-4DCC-B162-14306F6FDF23}" filter="1" showAutoFilter="1">
      <autoFilter ref="$A$1:$T$133"/>
    </customSheetView>
    <customSheetView guid="{9798D353-19B3-4DCC-B162-14306F6FDF23}" filter="1" showAutoFilter="1">
      <autoFilter ref="$A$1:$T$133"/>
    </customSheetView>
    <customSheetView guid="{9798D353-19B3-4DCC-B162-14306F6FDF23}" filter="1" showAutoFilter="1">
      <autoFilter ref="$A$1:$T$133"/>
    </customSheetView>
  </customSheetViews>
  <conditionalFormatting sqref="A2:Z1001">
    <cfRule type="expression" dxfId="1" priority="1" stopIfTrue="1">
      <formula>$O2="VERWIJDERD"</formula>
    </cfRule>
  </conditionalFormatting>
  <conditionalFormatting sqref="K2:K1001">
    <cfRule type="cellIs" dxfId="2" priority="2" stopIfTrue="1" operator="equal">
      <formula>4</formula>
    </cfRule>
  </conditionalFormatting>
  <conditionalFormatting sqref="K2:K1001">
    <cfRule type="cellIs" dxfId="3" priority="3" stopIfTrue="1" operator="equal">
      <formula>2</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7.38"/>
    <col customWidth="1" min="2" max="2" width="12.13"/>
    <col customWidth="1" min="5" max="5" width="21.5"/>
    <col customWidth="1" min="6" max="6" width="9.0"/>
  </cols>
  <sheetData>
    <row r="1">
      <c r="A1" s="10" t="s">
        <v>371</v>
      </c>
    </row>
    <row r="3">
      <c r="A3" s="11" t="s">
        <v>372</v>
      </c>
      <c r="E3" s="11" t="s">
        <v>373</v>
      </c>
    </row>
    <row r="4">
      <c r="A4" s="8" t="str">
        <f>IFERROR(__xludf.DUMMYFUNCTION("QUERY(DienstenData!A:Z, ""SELECT I, COUNT(A) WHERE I IS NOT NULL GROUP BY I LABEL COUNT(A) 'Aantal diensten'"", 1)"),"Team Prefix")</f>
        <v>Team Prefix</v>
      </c>
      <c r="B4" s="8" t="str">
        <f>IFERROR(__xludf.DUMMYFUNCTION("""COMPUTED_VALUE"""),"Aantal diensten")</f>
        <v>Aantal diensten</v>
      </c>
      <c r="E4" s="8" t="str">
        <f>IFERROR(__xludf.DUMMYFUNCTION("QUERY(DienstenData!A:Z, ""SELECT J, SUM(L) WHERE J IS NOT NULL GROUP BY J LABEL SUM(L) 'Totaal uren'"", 1)"),"Shift Type")</f>
        <v>Shift Type</v>
      </c>
      <c r="F4" s="8" t="str">
        <f>IFERROR(__xludf.DUMMYFUNCTION("""COMPUTED_VALUE"""),"Totaal uren")</f>
        <v>Totaal uren</v>
      </c>
    </row>
    <row r="5">
      <c r="A5" s="8" t="str">
        <f>IFERROR(__xludf.DUMMYFUNCTION("""COMPUTED_VALUE"""),"A.")</f>
        <v>A.</v>
      </c>
      <c r="B5" s="8">
        <f>IFERROR(__xludf.DUMMYFUNCTION("""COMPUTED_VALUE"""),77.0)</f>
        <v>77</v>
      </c>
      <c r="E5" s="8" t="str">
        <f>IFERROR(__xludf.DUMMYFUNCTION("""COMPUTED_VALUE"""),"Dienst")</f>
        <v>Dienst</v>
      </c>
      <c r="F5" s="8">
        <f>IFERROR(__xludf.DUMMYFUNCTION("""COMPUTED_VALUE"""),9.75)</f>
        <v>9.75</v>
      </c>
    </row>
    <row r="6">
      <c r="A6" s="8" t="str">
        <f>IFERROR(__xludf.DUMMYFUNCTION("""COMPUTED_VALUE"""),"R.")</f>
        <v>R.</v>
      </c>
      <c r="B6" s="8">
        <f>IFERROR(__xludf.DUMMYFUNCTION("""COMPUTED_VALUE"""),55.0)</f>
        <v>55</v>
      </c>
      <c r="E6" s="8" t="str">
        <f>IFERROR(__xludf.DUMMYFUNCTION("""COMPUTED_VALUE"""),"Laat")</f>
        <v>Laat</v>
      </c>
      <c r="F6" s="8">
        <f>IFERROR(__xludf.DUMMYFUNCTION("""COMPUTED_VALUE"""),453.5)</f>
        <v>453.5</v>
      </c>
    </row>
    <row r="7">
      <c r="E7" s="8" t="str">
        <f>IFERROR(__xludf.DUMMYFUNCTION("""COMPUTED_VALUE"""),"Vroeg")</f>
        <v>Vroeg</v>
      </c>
      <c r="F7" s="8">
        <f>IFERROR(__xludf.DUMMYFUNCTION("""COMPUTED_VALUE"""),507.5)</f>
        <v>507.5</v>
      </c>
    </row>
    <row r="14">
      <c r="A14" s="11" t="s">
        <v>374</v>
      </c>
    </row>
    <row r="15">
      <c r="A15" s="8" t="str">
        <f>IFERROR(__xludf.DUMMYFUNCTION("QUERY(DienstenData!A:Z, ""SELECT K, COUNT(A) WHERE K IS NOT NULL GROUP BY K ORDER BY K DESC LABEL COUNT(A) 'Aantal diensten'"", 1)"),"Prioriteit")</f>
        <v>Prioriteit</v>
      </c>
      <c r="B15" s="8" t="str">
        <f>IFERROR(__xludf.DUMMYFUNCTION("""COMPUTED_VALUE"""),"Aantal diensten")</f>
        <v>Aantal diensten</v>
      </c>
    </row>
    <row r="16">
      <c r="A16" s="8">
        <f>IFERROR(__xludf.DUMMYFUNCTION("""COMPUTED_VALUE"""),4.0)</f>
        <v>4</v>
      </c>
      <c r="B16" s="8">
        <f>IFERROR(__xludf.DUMMYFUNCTION("""COMPUTED_VALUE"""),66.0)</f>
        <v>66</v>
      </c>
    </row>
    <row r="17">
      <c r="A17" s="8">
        <f>IFERROR(__xludf.DUMMYFUNCTION("""COMPUTED_VALUE"""),2.0)</f>
        <v>2</v>
      </c>
      <c r="B17" s="8">
        <f>IFERROR(__xludf.DUMMYFUNCTION("""COMPUTED_VALUE"""),65.0)</f>
        <v>65</v>
      </c>
    </row>
    <row r="18">
      <c r="A18" s="8">
        <f>IFERROR(__xludf.DUMMYFUNCTION("""COMPUTED_VALUE"""),1.0)</f>
        <v>1</v>
      </c>
      <c r="B18" s="8">
        <f>IFERROR(__xludf.DUMMYFUNCTION("""COMPUTED_VALUE"""),1.0)</f>
        <v>1</v>
      </c>
    </row>
  </sheetData>
  <mergeCells count="4">
    <mergeCell ref="A1:Z1"/>
    <mergeCell ref="A3:D3"/>
    <mergeCell ref="E3:H3"/>
    <mergeCell ref="A14:D14"/>
  </mergeCells>
  <drawing r:id="rId1"/>
  <extLst>
    <ext uri="{3A4CF648-6AED-40f4-86FF-DC5316D8AED3}">
      <x14:slicerList>
        <x14:slicer r:id="rId2"/>
      </x14:slicerList>
    </ext>
  </extLst>
</worksheet>
</file>